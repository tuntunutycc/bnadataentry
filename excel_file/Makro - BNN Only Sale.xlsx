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VOICE\Sale invoice and payment\sale invoice\"/>
    </mc:Choice>
  </mc:AlternateContent>
  <xr:revisionPtr revIDLastSave="0" documentId="13_ncr:1_{62A3D275-3DED-4B3E-B693-318F325EF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- Makro" sheetId="2" r:id="rId1"/>
    <sheet name="Makro-Sat Sun" sheetId="1" r:id="rId2"/>
    <sheet name="Makro - Kha Wei Chan" sheetId="4" r:id="rId3"/>
  </sheets>
  <definedNames>
    <definedName name="_xlnm._FilterDatabase" localSheetId="2" hidden="1">'Makro - Kha Wei Chan'!$E$1:$E$1547</definedName>
    <definedName name="_xlnm._FilterDatabase" localSheetId="1" hidden="1">'Makro-Sat Sun'!$E$1:$E$24</definedName>
    <definedName name="_xlnm._FilterDatabase" localSheetId="0" hidden="1">'Summary - Makro'!$D$1:$D$15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9" i="2"/>
  <c r="I10" i="2"/>
  <c r="I12" i="2"/>
  <c r="I14" i="2"/>
  <c r="I16" i="2"/>
  <c r="I18" i="2"/>
  <c r="I20" i="2"/>
  <c r="I2" i="2"/>
  <c r="J44" i="4"/>
  <c r="J40" i="4"/>
  <c r="K33" i="1"/>
  <c r="I33" i="1"/>
  <c r="K28" i="1"/>
  <c r="I28" i="1"/>
  <c r="K3" i="1"/>
  <c r="O3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I3" i="1"/>
  <c r="I4" i="1" s="1"/>
  <c r="K4" i="1" s="1"/>
  <c r="I39" i="1" l="1"/>
  <c r="K39" i="1" s="1"/>
  <c r="I38" i="1"/>
  <c r="I36" i="1"/>
  <c r="I35" i="1"/>
  <c r="J35" i="1" s="1"/>
  <c r="I34" i="1"/>
  <c r="K32" i="1"/>
  <c r="I32" i="1"/>
  <c r="I30" i="1"/>
  <c r="J30" i="1" s="1"/>
  <c r="K30" i="1" s="1"/>
  <c r="I29" i="1"/>
  <c r="J29" i="1" s="1"/>
  <c r="H19" i="2"/>
  <c r="I19" i="2" s="1"/>
  <c r="J18" i="2"/>
  <c r="K18" i="2" s="1"/>
  <c r="H17" i="2"/>
  <c r="I17" i="2" s="1"/>
  <c r="K43" i="4"/>
  <c r="K44" i="4" s="1"/>
  <c r="I43" i="4"/>
  <c r="I44" i="4" s="1"/>
  <c r="K41" i="4"/>
  <c r="K42" i="4" s="1"/>
  <c r="I41" i="4"/>
  <c r="I42" i="4" s="1"/>
  <c r="K27" i="1"/>
  <c r="I27" i="1"/>
  <c r="K25" i="1"/>
  <c r="I25" i="1"/>
  <c r="I40" i="1" l="1"/>
  <c r="I37" i="1"/>
  <c r="I31" i="1"/>
  <c r="J31" i="1" s="1"/>
  <c r="K31" i="1" s="1"/>
  <c r="K35" i="1"/>
  <c r="K29" i="1"/>
  <c r="K38" i="1"/>
  <c r="K40" i="1" s="1"/>
  <c r="J36" i="1"/>
  <c r="K36" i="1" s="1"/>
  <c r="J34" i="1"/>
  <c r="J17" i="2"/>
  <c r="K17" i="2" s="1"/>
  <c r="J19" i="2"/>
  <c r="K19" i="2" s="1"/>
  <c r="J20" i="2"/>
  <c r="K20" i="2" s="1"/>
  <c r="J16" i="2"/>
  <c r="K16" i="2" s="1"/>
  <c r="J37" i="1" l="1"/>
  <c r="K34" i="1"/>
  <c r="K37" i="1" s="1"/>
  <c r="I39" i="4"/>
  <c r="K39" i="4" s="1"/>
  <c r="I38" i="4"/>
  <c r="K38" i="4" s="1"/>
  <c r="I37" i="4"/>
  <c r="I35" i="4"/>
  <c r="J35" i="4" s="1"/>
  <c r="K35" i="4" s="1"/>
  <c r="I34" i="4"/>
  <c r="J34" i="4" s="1"/>
  <c r="K34" i="4" s="1"/>
  <c r="I33" i="4"/>
  <c r="J33" i="4" s="1"/>
  <c r="K33" i="4" s="1"/>
  <c r="I32" i="4"/>
  <c r="J31" i="4"/>
  <c r="K31" i="4" l="1"/>
  <c r="J32" i="4"/>
  <c r="K32" i="4" s="1"/>
  <c r="I36" i="4"/>
  <c r="K37" i="4"/>
  <c r="K40" i="4" s="1"/>
  <c r="I40" i="4"/>
  <c r="I26" i="4"/>
  <c r="I27" i="4" s="1"/>
  <c r="J25" i="4"/>
  <c r="I24" i="4"/>
  <c r="I25" i="4" s="1"/>
  <c r="I22" i="4"/>
  <c r="J22" i="4" s="1"/>
  <c r="K22" i="4" s="1"/>
  <c r="I21" i="4"/>
  <c r="I23" i="4" s="1"/>
  <c r="K19" i="4"/>
  <c r="I19" i="4"/>
  <c r="K18" i="4"/>
  <c r="I18" i="4"/>
  <c r="J36" i="4" l="1"/>
  <c r="K36" i="4"/>
  <c r="J26" i="4"/>
  <c r="J27" i="4" s="1"/>
  <c r="K24" i="4"/>
  <c r="K25" i="4" s="1"/>
  <c r="J21" i="4"/>
  <c r="J23" i="4" s="1"/>
  <c r="K26" i="4" l="1"/>
  <c r="K27" i="4" s="1"/>
  <c r="K21" i="4"/>
  <c r="K23" i="4" s="1"/>
  <c r="I17" i="4" l="1"/>
  <c r="J17" i="4" s="1"/>
  <c r="K17" i="4" s="1"/>
  <c r="I16" i="4"/>
  <c r="J16" i="4" l="1"/>
  <c r="J20" i="4" s="1"/>
  <c r="I20" i="4"/>
  <c r="K16" i="4"/>
  <c r="K20" i="4" s="1"/>
  <c r="I14" i="4" l="1"/>
  <c r="J14" i="4" s="1"/>
  <c r="I13" i="4"/>
  <c r="J13" i="4" s="1"/>
  <c r="K13" i="4" s="1"/>
  <c r="I12" i="4"/>
  <c r="I15" i="4" s="1"/>
  <c r="I10" i="4"/>
  <c r="J10" i="4" s="1"/>
  <c r="K10" i="4" s="1"/>
  <c r="I9" i="4"/>
  <c r="J9" i="4" s="1"/>
  <c r="K9" i="4" s="1"/>
  <c r="I8" i="4"/>
  <c r="I11" i="4" s="1"/>
  <c r="K6" i="4"/>
  <c r="K5" i="4"/>
  <c r="I6" i="4"/>
  <c r="I5" i="4"/>
  <c r="I7" i="4" s="1"/>
  <c r="I3" i="4"/>
  <c r="I4" i="4" s="1"/>
  <c r="K7" i="4" l="1"/>
  <c r="J12" i="4"/>
  <c r="K12" i="4" s="1"/>
  <c r="K14" i="4"/>
  <c r="J8" i="4"/>
  <c r="J3" i="4"/>
  <c r="J15" i="4" l="1"/>
  <c r="K15" i="4" s="1"/>
  <c r="J11" i="4"/>
  <c r="K8" i="4"/>
  <c r="K11" i="4" s="1"/>
  <c r="J4" i="4"/>
  <c r="K4" i="4" s="1"/>
  <c r="K3" i="4"/>
  <c r="H15" i="2" l="1"/>
  <c r="I15" i="2" s="1"/>
  <c r="J14" i="2"/>
  <c r="K14" i="2" s="1"/>
  <c r="K24" i="1"/>
  <c r="I23" i="1"/>
  <c r="I22" i="1"/>
  <c r="H13" i="2"/>
  <c r="I13" i="2" s="1"/>
  <c r="H11" i="2"/>
  <c r="I11" i="2" s="1"/>
  <c r="J12" i="2"/>
  <c r="K12" i="2" s="1"/>
  <c r="J10" i="2"/>
  <c r="K10" i="2" s="1"/>
  <c r="J9" i="2"/>
  <c r="K9" i="2" s="1"/>
  <c r="H8" i="2"/>
  <c r="I8" i="2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H7" i="2"/>
  <c r="I7" i="2" s="1"/>
  <c r="J6" i="2"/>
  <c r="K6" i="2" s="1"/>
  <c r="I15" i="1"/>
  <c r="H3" i="2"/>
  <c r="I3" i="2" s="1"/>
  <c r="I6" i="1"/>
  <c r="I5" i="1"/>
  <c r="H4" i="2"/>
  <c r="I4" i="2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H5" i="2"/>
  <c r="I5" i="2" s="1"/>
  <c r="J2" i="2"/>
  <c r="K2" i="2" s="1"/>
  <c r="I24" i="1" l="1"/>
  <c r="J15" i="2"/>
  <c r="K15" i="2" s="1"/>
  <c r="J13" i="2"/>
  <c r="K13" i="2" s="1"/>
  <c r="J11" i="2"/>
  <c r="K11" i="2" s="1"/>
  <c r="J8" i="2"/>
  <c r="K8" i="2" s="1"/>
  <c r="K17" i="1"/>
  <c r="K21" i="1" s="1"/>
  <c r="I21" i="1"/>
  <c r="J21" i="1" s="1"/>
  <c r="J7" i="2"/>
  <c r="K7" i="2" s="1"/>
  <c r="J3" i="2"/>
  <c r="K3" i="2" s="1"/>
  <c r="I7" i="1"/>
  <c r="J6" i="1"/>
  <c r="K6" i="1" s="1"/>
  <c r="J5" i="1"/>
  <c r="J4" i="2"/>
  <c r="K4" i="2" s="1"/>
  <c r="I14" i="1"/>
  <c r="J14" i="1" s="1"/>
  <c r="K14" i="1" s="1"/>
  <c r="J5" i="2"/>
  <c r="K5" i="2" s="1"/>
  <c r="J7" i="1" l="1"/>
  <c r="K7" i="1" s="1"/>
  <c r="K5" i="1"/>
</calcChain>
</file>

<file path=xl/sharedStrings.xml><?xml version="1.0" encoding="utf-8"?>
<sst xmlns="http://schemas.openxmlformats.org/spreadsheetml/2006/main" count="323" uniqueCount="155">
  <si>
    <t>Po Date</t>
  </si>
  <si>
    <t>Due Date
(Payment)</t>
  </si>
  <si>
    <t>Invoice No</t>
  </si>
  <si>
    <t>Product Description</t>
  </si>
  <si>
    <t>Pack Qty</t>
  </si>
  <si>
    <t>Pcs</t>
  </si>
  <si>
    <t>ဖာ</t>
  </si>
  <si>
    <t>List Price</t>
  </si>
  <si>
    <t>Total Invoice</t>
  </si>
  <si>
    <t>Tax 5%</t>
  </si>
  <si>
    <t>Grand Total</t>
  </si>
  <si>
    <t>Total Amount</t>
  </si>
  <si>
    <t>Delivery Date</t>
  </si>
  <si>
    <t>PO Date</t>
  </si>
  <si>
    <t>Invoice Date</t>
  </si>
  <si>
    <t>Sunsu Konjac Mala 50g</t>
  </si>
  <si>
    <t>SunSu Chewy Grape/Strawberry Jelly 16G x 6</t>
  </si>
  <si>
    <t>SunSu Chewy Peach / Lychee Jelly 16G x 6</t>
  </si>
  <si>
    <t>SunSu Chewy Apple / Org Jelly 16G x 6</t>
  </si>
  <si>
    <t>Kruawangthip Tempura 1 Kg</t>
  </si>
  <si>
    <t xml:space="preserve">Kruawangthip Kentucky Flour 1 kg </t>
  </si>
  <si>
    <t>Sunsu Chewy Mix Berry Jelly 16G*6</t>
  </si>
  <si>
    <t xml:space="preserve">Healthy Boy BL Soy Sauce 940x1  </t>
  </si>
  <si>
    <t xml:space="preserve">Healthy Boy  Soybean Sauce 600mlx1  </t>
  </si>
  <si>
    <t xml:space="preserve">Ajino , Healthy Boy </t>
  </si>
  <si>
    <t>Sat San</t>
  </si>
  <si>
    <t xml:space="preserve"> Kha Wae Chan </t>
  </si>
  <si>
    <t>Sunsu Konjac Org 50g</t>
  </si>
  <si>
    <t>3.2.2026</t>
  </si>
  <si>
    <t xml:space="preserve">Tempura 1 kg </t>
  </si>
  <si>
    <t>Due Date</t>
  </si>
  <si>
    <t>3.3.2026</t>
  </si>
  <si>
    <t>4.3.2026</t>
  </si>
  <si>
    <t>9.3.2026</t>
  </si>
  <si>
    <t>Able 1 L</t>
  </si>
  <si>
    <t>10.3.2026</t>
  </si>
  <si>
    <t xml:space="preserve">Pung Pung Chicken Pie </t>
  </si>
  <si>
    <t xml:space="preserve">Pung Pung Salted Egg Lava Pie </t>
  </si>
  <si>
    <t xml:space="preserve">Pung Pung Mango Lava Pie </t>
  </si>
  <si>
    <t xml:space="preserve">Pung Pung </t>
  </si>
  <si>
    <t>13.3.2026</t>
  </si>
  <si>
    <t xml:space="preserve">Able 1 L </t>
  </si>
  <si>
    <t>Yobick 80 ml</t>
  </si>
  <si>
    <t>Retro ( -5% )</t>
  </si>
  <si>
    <t>Amount</t>
  </si>
  <si>
    <t>4.4.2026</t>
  </si>
  <si>
    <t>0335</t>
  </si>
  <si>
    <t>Yobick Org 80 ml</t>
  </si>
  <si>
    <t>6.3.2026</t>
  </si>
  <si>
    <t>6.4.2026</t>
  </si>
  <si>
    <t>0351</t>
  </si>
  <si>
    <t>5.3.2026</t>
  </si>
  <si>
    <t>5.4.2026</t>
  </si>
  <si>
    <t xml:space="preserve">Susnu Jelly , Pung Pung </t>
  </si>
  <si>
    <t>0349</t>
  </si>
  <si>
    <t xml:space="preserve">Sunsu Konjac Chewy Soda , Sala Soda </t>
  </si>
  <si>
    <t xml:space="preserve">Sunsu Jelly , Pung Pung </t>
  </si>
  <si>
    <t>0347</t>
  </si>
  <si>
    <t>Ajinotakara Mountain MSG 1 kg</t>
  </si>
  <si>
    <t>0352</t>
  </si>
  <si>
    <t>11.3.2026</t>
  </si>
  <si>
    <t>11.4.2026</t>
  </si>
  <si>
    <t>0356</t>
  </si>
  <si>
    <t>Sunsu Konjac Extra50g</t>
  </si>
  <si>
    <t xml:space="preserve">Sunsu Extra , Pung Pung </t>
  </si>
  <si>
    <t>0357</t>
  </si>
  <si>
    <t>0358</t>
  </si>
  <si>
    <t>Able Condensed</t>
  </si>
  <si>
    <t>0359</t>
  </si>
  <si>
    <t>13.4.2026</t>
  </si>
  <si>
    <t>0360</t>
  </si>
  <si>
    <t xml:space="preserve">Ajino , HB </t>
  </si>
  <si>
    <t>14.3.2026</t>
  </si>
  <si>
    <t>0361</t>
  </si>
  <si>
    <t>Kruawangthip Tempura 1kg</t>
  </si>
  <si>
    <t>Tempura 1 kg , BC 500 g</t>
  </si>
  <si>
    <t>0362</t>
  </si>
  <si>
    <t>Kruawangthip BC 1 kg</t>
  </si>
  <si>
    <t>0363</t>
  </si>
  <si>
    <t xml:space="preserve">Tempura 1 kg , BC 1 kg </t>
  </si>
  <si>
    <t>0364</t>
  </si>
  <si>
    <t>FOC</t>
  </si>
  <si>
    <t>Yobick Strawberry Yoghurt 180 ml</t>
  </si>
  <si>
    <t>Yobick  Original   Yoghurt 180 ml</t>
  </si>
  <si>
    <t>1.6.2026</t>
  </si>
  <si>
    <t>4.6.2026</t>
  </si>
  <si>
    <t xml:space="preserve">SunSu Chewy  Soda &amp; Sala  Flavour Jelly </t>
  </si>
  <si>
    <t>SunSu Chewy Grape &amp; Straw Jelly 16G x 6</t>
  </si>
  <si>
    <t xml:space="preserve">Chef MSG 250 G </t>
  </si>
  <si>
    <t>Total  Amount</t>
  </si>
  <si>
    <t>29.6.2026</t>
  </si>
  <si>
    <t>3.6.2026</t>
  </si>
  <si>
    <t>3.7.2026</t>
  </si>
  <si>
    <t>2001</t>
  </si>
  <si>
    <t xml:space="preserve">Chef MSG500 G </t>
  </si>
  <si>
    <t>2.6.2026</t>
  </si>
  <si>
    <t>2003</t>
  </si>
  <si>
    <t>Able Farm Full Cream UHT Milk 200 ml</t>
  </si>
  <si>
    <t>Yobick Org Yoghurt 180ml</t>
  </si>
  <si>
    <t>2004</t>
  </si>
  <si>
    <t xml:space="preserve">SunSu Mixberry Jelly </t>
  </si>
  <si>
    <t>Sunsu Konjac Extra 50g</t>
  </si>
  <si>
    <t>4.7.2026</t>
  </si>
  <si>
    <t>2006</t>
  </si>
  <si>
    <t>Ajinotakera Mountain MSG 1kg</t>
  </si>
  <si>
    <t>Sunsu Konjac Extra Mala</t>
  </si>
  <si>
    <t>Chef MSG 500g</t>
  </si>
  <si>
    <t>Yodmae Sardine in Tomato Sauce 155g*10</t>
  </si>
  <si>
    <t>Healthyboy BL Soybean #1 600ml*1</t>
  </si>
  <si>
    <t>Yodmae Kura Sardines 155G*10</t>
  </si>
  <si>
    <t>Healthyboy BL Soybean  600ml*1</t>
  </si>
  <si>
    <t>3.8.2026</t>
  </si>
  <si>
    <t>2046</t>
  </si>
  <si>
    <t>20.7.2026</t>
  </si>
  <si>
    <t>22.7.2026</t>
  </si>
  <si>
    <t>22.8.2026</t>
  </si>
  <si>
    <t>1024</t>
  </si>
  <si>
    <t>2.7.2026</t>
  </si>
  <si>
    <t>1025</t>
  </si>
  <si>
    <t>1032</t>
  </si>
  <si>
    <t>1034</t>
  </si>
  <si>
    <t>1035</t>
  </si>
  <si>
    <t>31.8.2026</t>
  </si>
  <si>
    <t>Tempura 1kg/Cook &amp; Lobster 700 ml</t>
  </si>
  <si>
    <t>Cook&amp;Lobster Fish Saunce 700ml</t>
  </si>
  <si>
    <t>14.9.2026</t>
  </si>
  <si>
    <t>3.9.2026</t>
  </si>
  <si>
    <t>3.10.2026</t>
  </si>
  <si>
    <t>0656</t>
  </si>
  <si>
    <t>0659</t>
  </si>
  <si>
    <t xml:space="preserve">Kruawangthip K Fried CHK Flour 1 kg </t>
  </si>
  <si>
    <t>9.9.2026</t>
  </si>
  <si>
    <t>10.9.2026</t>
  </si>
  <si>
    <t>11.9.2026</t>
  </si>
  <si>
    <t>11.10.2026</t>
  </si>
  <si>
    <t>0688</t>
  </si>
  <si>
    <t>0689</t>
  </si>
  <si>
    <t>0690</t>
  </si>
  <si>
    <t>0691</t>
  </si>
  <si>
    <t>Sunsu Konjac Original Mala</t>
  </si>
  <si>
    <t>16.9.2026</t>
  </si>
  <si>
    <t>16.10.2026</t>
  </si>
  <si>
    <t>0705</t>
  </si>
  <si>
    <t xml:space="preserve">  Sunsu Konjac </t>
  </si>
  <si>
    <t>15.9.2026</t>
  </si>
  <si>
    <t>0706</t>
  </si>
  <si>
    <t>0707</t>
  </si>
  <si>
    <t>Ajino /Chef MSG 500g /HB</t>
  </si>
  <si>
    <t>0709</t>
  </si>
  <si>
    <t>Remark</t>
  </si>
  <si>
    <t>Price  က ctns လိုက်ရော unit လိုက်ရော ပေးတာရှိ</t>
  </si>
  <si>
    <t xml:space="preserve">Makro- ဆိုင်တိုက်ရိုက်ပို့ delivery charges မရှိ </t>
  </si>
  <si>
    <t>နို့ထွက်ပစ္စည်းတွေ tax မဆောင်ရပါ</t>
  </si>
  <si>
    <t>တချို့ပစ္စည်းတွေ မဆောင်ရတာလဲရှိ</t>
  </si>
  <si>
    <t>Retro back margin 5%ကို Makro ကို ပြန်ပေးရ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</si>
</sst>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3" fillId="0" borderId="2" xfId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3" fontId="4" fillId="0" borderId="2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3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60"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 val="0"/>
        <i val="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A2B3-71CF-48B1-99B7-FEA3A40E6862}">
  <sheetPr>
    <tabColor theme="9" tint="0.59999389629810485"/>
  </sheetPr>
  <dimension ref="A1:L161"/>
  <sheetViews>
    <sheetView tabSelected="1" topLeftCell="F1" workbookViewId="0">
      <pane ySplit="1" topLeftCell="A20" activePane="bottomLeft" state="frozen"/>
      <selection pane="bottomLeft" activeCell="L22" sqref="L22"/>
    </sheetView>
  </sheetViews>
  <sheetFormatPr defaultColWidth="8.77734375" defaultRowHeight="30" customHeight="1" x14ac:dyDescent="0.3"/>
  <cols>
    <col min="1" max="1" width="12.88671875" style="4" customWidth="1"/>
    <col min="2" max="3" width="16" style="4" customWidth="1"/>
    <col min="4" max="4" width="13.33203125" style="11" customWidth="1"/>
    <col min="5" max="5" width="43.33203125" style="11" customWidth="1"/>
    <col min="6" max="6" width="20.44140625" style="19" customWidth="1"/>
    <col min="7" max="7" width="17.77734375" style="11" customWidth="1"/>
    <col min="8" max="8" width="16" style="15" customWidth="1"/>
    <col min="9" max="9" width="18.88671875" style="15" customWidth="1"/>
    <col min="10" max="10" width="16.21875" style="4" customWidth="1"/>
    <col min="11" max="11" width="14.88671875" style="22" customWidth="1"/>
    <col min="12" max="12" width="28.109375" style="4" customWidth="1"/>
    <col min="13" max="13" width="16.88671875" style="4" customWidth="1"/>
    <col min="14" max="14" width="14.109375" style="4" customWidth="1"/>
    <col min="15" max="16384" width="8.77734375" style="4"/>
  </cols>
  <sheetData>
    <row r="1" spans="1:12" ht="30" customHeight="1" x14ac:dyDescent="0.3">
      <c r="A1" s="1" t="s">
        <v>13</v>
      </c>
      <c r="B1" s="1" t="s">
        <v>14</v>
      </c>
      <c r="C1" s="1" t="s">
        <v>30</v>
      </c>
      <c r="D1" s="2" t="s">
        <v>2</v>
      </c>
      <c r="E1" s="2" t="s">
        <v>3</v>
      </c>
      <c r="F1" s="16" t="s">
        <v>25</v>
      </c>
      <c r="G1" s="2" t="s">
        <v>26</v>
      </c>
      <c r="H1" s="3" t="s">
        <v>9</v>
      </c>
      <c r="I1" s="23" t="s">
        <v>10</v>
      </c>
      <c r="J1" s="3" t="s">
        <v>43</v>
      </c>
      <c r="K1" s="1" t="s">
        <v>44</v>
      </c>
      <c r="L1" s="50" t="s">
        <v>149</v>
      </c>
    </row>
    <row r="2" spans="1:12" ht="30" customHeight="1" x14ac:dyDescent="0.3">
      <c r="A2" s="5" t="s">
        <v>28</v>
      </c>
      <c r="B2" s="5" t="s">
        <v>32</v>
      </c>
      <c r="C2" s="5" t="s">
        <v>45</v>
      </c>
      <c r="D2" s="6" t="s">
        <v>46</v>
      </c>
      <c r="E2" s="6" t="s">
        <v>42</v>
      </c>
      <c r="F2" s="13">
        <v>180000</v>
      </c>
      <c r="G2" s="6">
        <v>0</v>
      </c>
      <c r="H2" s="7"/>
      <c r="I2" s="24">
        <f>F2+G2+H2</f>
        <v>180000</v>
      </c>
      <c r="J2" s="9">
        <f t="shared" ref="J2:J15" si="0">-I2* 5%</f>
        <v>-9000</v>
      </c>
      <c r="K2" s="9">
        <f t="shared" ref="K2:K15" si="1">I2+J2</f>
        <v>171000</v>
      </c>
      <c r="L2" s="49" t="s">
        <v>154</v>
      </c>
    </row>
    <row r="3" spans="1:12" ht="30" customHeight="1" x14ac:dyDescent="0.3">
      <c r="A3" s="5" t="s">
        <v>32</v>
      </c>
      <c r="B3" s="5" t="s">
        <v>48</v>
      </c>
      <c r="C3" s="5" t="s">
        <v>49</v>
      </c>
      <c r="D3" s="6" t="s">
        <v>57</v>
      </c>
      <c r="E3" s="6" t="s">
        <v>24</v>
      </c>
      <c r="F3" s="13">
        <v>241440</v>
      </c>
      <c r="G3" s="6">
        <v>0</v>
      </c>
      <c r="H3" s="7">
        <f>F3*5%</f>
        <v>12072</v>
      </c>
      <c r="I3" s="24">
        <f t="shared" ref="I3:I20" si="2">F3+G3+H3</f>
        <v>253512</v>
      </c>
      <c r="J3" s="9">
        <f t="shared" si="0"/>
        <v>-12675.6</v>
      </c>
      <c r="K3" s="9">
        <f t="shared" si="1"/>
        <v>240836.4</v>
      </c>
    </row>
    <row r="4" spans="1:12" ht="30" customHeight="1" x14ac:dyDescent="0.3">
      <c r="A4" s="5" t="s">
        <v>31</v>
      </c>
      <c r="B4" s="5" t="s">
        <v>48</v>
      </c>
      <c r="C4" s="5" t="s">
        <v>49</v>
      </c>
      <c r="D4" s="6" t="s">
        <v>54</v>
      </c>
      <c r="E4" s="6" t="s">
        <v>56</v>
      </c>
      <c r="F4" s="13">
        <v>1282400</v>
      </c>
      <c r="G4" s="6">
        <v>0</v>
      </c>
      <c r="H4" s="7">
        <f>F4*5%</f>
        <v>64120</v>
      </c>
      <c r="I4" s="24">
        <f t="shared" si="2"/>
        <v>1346520</v>
      </c>
      <c r="J4" s="9">
        <f t="shared" si="0"/>
        <v>-67326</v>
      </c>
      <c r="K4" s="9">
        <f t="shared" si="1"/>
        <v>1279194</v>
      </c>
    </row>
    <row r="5" spans="1:12" ht="30" customHeight="1" x14ac:dyDescent="0.3">
      <c r="A5" s="5" t="s">
        <v>31</v>
      </c>
      <c r="B5" s="5" t="s">
        <v>51</v>
      </c>
      <c r="C5" s="5" t="s">
        <v>52</v>
      </c>
      <c r="D5" s="6" t="s">
        <v>50</v>
      </c>
      <c r="E5" s="6" t="s">
        <v>53</v>
      </c>
      <c r="F5" s="13">
        <v>0</v>
      </c>
      <c r="G5" s="7">
        <v>1075200</v>
      </c>
      <c r="H5" s="7">
        <f>G5*5%</f>
        <v>53760</v>
      </c>
      <c r="I5" s="24">
        <f t="shared" si="2"/>
        <v>1128960</v>
      </c>
      <c r="J5" s="9">
        <f t="shared" si="0"/>
        <v>-56448</v>
      </c>
      <c r="K5" s="9">
        <f t="shared" si="1"/>
        <v>1072512</v>
      </c>
    </row>
    <row r="6" spans="1:12" ht="30" customHeight="1" x14ac:dyDescent="0.3">
      <c r="A6" s="5" t="s">
        <v>31</v>
      </c>
      <c r="B6" s="5" t="s">
        <v>48</v>
      </c>
      <c r="C6" s="5" t="s">
        <v>49</v>
      </c>
      <c r="D6" s="6" t="s">
        <v>59</v>
      </c>
      <c r="E6" s="6" t="s">
        <v>34</v>
      </c>
      <c r="F6" s="13">
        <v>1153200</v>
      </c>
      <c r="G6" s="6">
        <v>0</v>
      </c>
      <c r="H6" s="7"/>
      <c r="I6" s="24">
        <f t="shared" si="2"/>
        <v>1153200</v>
      </c>
      <c r="J6" s="9">
        <f t="shared" si="0"/>
        <v>-57660</v>
      </c>
      <c r="K6" s="9">
        <f t="shared" si="1"/>
        <v>1095540</v>
      </c>
    </row>
    <row r="7" spans="1:12" ht="30" customHeight="1" x14ac:dyDescent="0.3">
      <c r="A7" s="5" t="s">
        <v>33</v>
      </c>
      <c r="B7" s="5" t="s">
        <v>60</v>
      </c>
      <c r="C7" s="5" t="s">
        <v>61</v>
      </c>
      <c r="D7" s="6" t="s">
        <v>62</v>
      </c>
      <c r="E7" s="6" t="s">
        <v>64</v>
      </c>
      <c r="F7" s="13">
        <v>0</v>
      </c>
      <c r="G7" s="7">
        <v>1817280</v>
      </c>
      <c r="H7" s="7">
        <f>G7*5%</f>
        <v>90864</v>
      </c>
      <c r="I7" s="24">
        <f t="shared" si="2"/>
        <v>1908144</v>
      </c>
      <c r="J7" s="9">
        <f t="shared" si="0"/>
        <v>-95407.200000000012</v>
      </c>
      <c r="K7" s="9">
        <f t="shared" si="1"/>
        <v>1812736.8</v>
      </c>
    </row>
    <row r="8" spans="1:12" ht="30" customHeight="1" x14ac:dyDescent="0.3">
      <c r="A8" s="5" t="s">
        <v>33</v>
      </c>
      <c r="B8" s="5" t="s">
        <v>60</v>
      </c>
      <c r="C8" s="5" t="s">
        <v>61</v>
      </c>
      <c r="D8" s="6" t="s">
        <v>65</v>
      </c>
      <c r="E8" s="6" t="s">
        <v>64</v>
      </c>
      <c r="F8" s="13">
        <v>1224960</v>
      </c>
      <c r="G8" s="6">
        <v>0</v>
      </c>
      <c r="H8" s="7">
        <f>F8*5%</f>
        <v>61248</v>
      </c>
      <c r="I8" s="24">
        <f t="shared" si="2"/>
        <v>1286208</v>
      </c>
      <c r="J8" s="9">
        <f t="shared" si="0"/>
        <v>-64310.400000000001</v>
      </c>
      <c r="K8" s="9">
        <f t="shared" si="1"/>
        <v>1221897.6000000001</v>
      </c>
    </row>
    <row r="9" spans="1:12" ht="30" customHeight="1" x14ac:dyDescent="0.3">
      <c r="A9" s="5" t="s">
        <v>35</v>
      </c>
      <c r="B9" s="5" t="s">
        <v>60</v>
      </c>
      <c r="C9" s="5" t="s">
        <v>61</v>
      </c>
      <c r="D9" s="6" t="s">
        <v>66</v>
      </c>
      <c r="E9" s="6" t="s">
        <v>67</v>
      </c>
      <c r="F9" s="13">
        <v>0</v>
      </c>
      <c r="G9" s="6">
        <v>302400</v>
      </c>
      <c r="H9" s="7"/>
      <c r="I9" s="24">
        <f t="shared" si="2"/>
        <v>302400</v>
      </c>
      <c r="J9" s="9">
        <f t="shared" si="0"/>
        <v>-15120</v>
      </c>
      <c r="K9" s="9">
        <f t="shared" si="1"/>
        <v>287280</v>
      </c>
    </row>
    <row r="10" spans="1:12" ht="30" customHeight="1" x14ac:dyDescent="0.3">
      <c r="A10" s="5" t="s">
        <v>35</v>
      </c>
      <c r="B10" s="5" t="s">
        <v>60</v>
      </c>
      <c r="C10" s="5" t="s">
        <v>61</v>
      </c>
      <c r="D10" s="6" t="s">
        <v>68</v>
      </c>
      <c r="E10" s="6" t="s">
        <v>67</v>
      </c>
      <c r="F10" s="13">
        <v>907200</v>
      </c>
      <c r="G10" s="6">
        <v>0</v>
      </c>
      <c r="H10" s="7"/>
      <c r="I10" s="24">
        <f t="shared" si="2"/>
        <v>907200</v>
      </c>
      <c r="J10" s="9">
        <f t="shared" si="0"/>
        <v>-45360</v>
      </c>
      <c r="K10" s="9">
        <f t="shared" si="1"/>
        <v>861840</v>
      </c>
    </row>
    <row r="11" spans="1:12" ht="30" customHeight="1" x14ac:dyDescent="0.3">
      <c r="A11" s="5" t="s">
        <v>60</v>
      </c>
      <c r="B11" s="5" t="s">
        <v>40</v>
      </c>
      <c r="C11" s="5" t="s">
        <v>69</v>
      </c>
      <c r="D11" s="6" t="s">
        <v>70</v>
      </c>
      <c r="E11" s="6" t="s">
        <v>71</v>
      </c>
      <c r="F11" s="13">
        <v>0</v>
      </c>
      <c r="G11" s="7">
        <v>619200</v>
      </c>
      <c r="H11" s="7">
        <f>G11*5%</f>
        <v>30960</v>
      </c>
      <c r="I11" s="24">
        <f t="shared" si="2"/>
        <v>650160</v>
      </c>
      <c r="J11" s="9">
        <f t="shared" si="0"/>
        <v>-32508</v>
      </c>
      <c r="K11" s="9">
        <f t="shared" si="1"/>
        <v>617652</v>
      </c>
    </row>
    <row r="12" spans="1:12" ht="30" customHeight="1" x14ac:dyDescent="0.3">
      <c r="A12" s="5" t="s">
        <v>60</v>
      </c>
      <c r="B12" s="5" t="s">
        <v>40</v>
      </c>
      <c r="C12" s="5" t="s">
        <v>69</v>
      </c>
      <c r="D12" s="6" t="s">
        <v>73</v>
      </c>
      <c r="E12" s="6" t="s">
        <v>75</v>
      </c>
      <c r="F12" s="13">
        <v>0</v>
      </c>
      <c r="G12" s="6">
        <v>840000</v>
      </c>
      <c r="H12" s="7"/>
      <c r="I12" s="24">
        <f t="shared" si="2"/>
        <v>840000</v>
      </c>
      <c r="J12" s="9">
        <f t="shared" si="0"/>
        <v>-42000</v>
      </c>
      <c r="K12" s="9">
        <f t="shared" si="1"/>
        <v>798000</v>
      </c>
    </row>
    <row r="13" spans="1:12" ht="30" customHeight="1" x14ac:dyDescent="0.3">
      <c r="A13" s="5" t="s">
        <v>60</v>
      </c>
      <c r="B13" s="5" t="s">
        <v>40</v>
      </c>
      <c r="C13" s="5" t="s">
        <v>69</v>
      </c>
      <c r="D13" s="6" t="s">
        <v>76</v>
      </c>
      <c r="E13" s="6" t="s">
        <v>39</v>
      </c>
      <c r="F13" s="13">
        <v>0</v>
      </c>
      <c r="G13" s="7">
        <v>864000</v>
      </c>
      <c r="H13" s="7">
        <f>G13*5%</f>
        <v>43200</v>
      </c>
      <c r="I13" s="24">
        <f t="shared" si="2"/>
        <v>907200</v>
      </c>
      <c r="J13" s="9">
        <f t="shared" si="0"/>
        <v>-45360</v>
      </c>
      <c r="K13" s="9">
        <f t="shared" si="1"/>
        <v>861840</v>
      </c>
    </row>
    <row r="14" spans="1:12" ht="30" customHeight="1" x14ac:dyDescent="0.3">
      <c r="A14" s="5" t="s">
        <v>60</v>
      </c>
      <c r="B14" s="5" t="s">
        <v>40</v>
      </c>
      <c r="C14" s="5" t="s">
        <v>69</v>
      </c>
      <c r="D14" s="6" t="s">
        <v>78</v>
      </c>
      <c r="E14" s="6" t="s">
        <v>79</v>
      </c>
      <c r="F14" s="13">
        <v>1170000</v>
      </c>
      <c r="G14" s="6">
        <v>0</v>
      </c>
      <c r="H14" s="7"/>
      <c r="I14" s="24">
        <f t="shared" si="2"/>
        <v>1170000</v>
      </c>
      <c r="J14" s="9">
        <f t="shared" si="0"/>
        <v>-58500</v>
      </c>
      <c r="K14" s="9">
        <f t="shared" si="1"/>
        <v>1111500</v>
      </c>
    </row>
    <row r="15" spans="1:12" ht="30" customHeight="1" x14ac:dyDescent="0.3">
      <c r="A15" s="5" t="s">
        <v>60</v>
      </c>
      <c r="B15" s="5" t="s">
        <v>40</v>
      </c>
      <c r="C15" s="5" t="s">
        <v>69</v>
      </c>
      <c r="D15" s="6" t="s">
        <v>80</v>
      </c>
      <c r="E15" s="6" t="s">
        <v>39</v>
      </c>
      <c r="F15" s="13">
        <v>864000</v>
      </c>
      <c r="G15" s="6">
        <v>0</v>
      </c>
      <c r="H15" s="7">
        <f>F15*5%</f>
        <v>43200</v>
      </c>
      <c r="I15" s="24">
        <f t="shared" si="2"/>
        <v>907200</v>
      </c>
      <c r="J15" s="9">
        <f t="shared" si="0"/>
        <v>-45360</v>
      </c>
      <c r="K15" s="9">
        <f t="shared" si="1"/>
        <v>861840</v>
      </c>
    </row>
    <row r="16" spans="1:12" ht="30" customHeight="1" x14ac:dyDescent="0.3">
      <c r="A16" s="5" t="s">
        <v>132</v>
      </c>
      <c r="B16" s="5" t="s">
        <v>133</v>
      </c>
      <c r="C16" s="5" t="s">
        <v>134</v>
      </c>
      <c r="D16" s="6" t="s">
        <v>138</v>
      </c>
      <c r="E16" s="5" t="s">
        <v>41</v>
      </c>
      <c r="F16" s="13">
        <v>0</v>
      </c>
      <c r="G16" s="7">
        <v>310800</v>
      </c>
      <c r="H16" s="7"/>
      <c r="I16" s="24">
        <f t="shared" si="2"/>
        <v>310800</v>
      </c>
      <c r="J16" s="9">
        <f t="shared" ref="J16:J20" si="3">-I16*5%</f>
        <v>-15540</v>
      </c>
      <c r="K16" s="9">
        <f t="shared" ref="K16:K20" si="4">I16+J16</f>
        <v>295260</v>
      </c>
    </row>
    <row r="17" spans="1:11" ht="30" customHeight="1" x14ac:dyDescent="0.3">
      <c r="A17" s="5" t="s">
        <v>125</v>
      </c>
      <c r="B17" s="5" t="s">
        <v>140</v>
      </c>
      <c r="C17" s="5" t="s">
        <v>141</v>
      </c>
      <c r="D17" s="6" t="s">
        <v>142</v>
      </c>
      <c r="E17" s="6" t="s">
        <v>143</v>
      </c>
      <c r="F17" s="13">
        <v>276480</v>
      </c>
      <c r="G17" s="6">
        <v>0</v>
      </c>
      <c r="H17" s="7">
        <f>F17*5%</f>
        <v>13824</v>
      </c>
      <c r="I17" s="24">
        <f t="shared" si="2"/>
        <v>290304</v>
      </c>
      <c r="J17" s="9">
        <f t="shared" si="3"/>
        <v>-14515.2</v>
      </c>
      <c r="K17" s="9">
        <f t="shared" si="4"/>
        <v>275788.79999999999</v>
      </c>
    </row>
    <row r="18" spans="1:11" ht="30" customHeight="1" x14ac:dyDescent="0.3">
      <c r="A18" s="5" t="s">
        <v>144</v>
      </c>
      <c r="B18" s="5" t="s">
        <v>140</v>
      </c>
      <c r="C18" s="5" t="s">
        <v>141</v>
      </c>
      <c r="D18" s="6" t="s">
        <v>145</v>
      </c>
      <c r="E18" s="5" t="s">
        <v>41</v>
      </c>
      <c r="F18" s="13">
        <v>888000</v>
      </c>
      <c r="G18" s="6">
        <v>0</v>
      </c>
      <c r="H18" s="7"/>
      <c r="I18" s="24">
        <f t="shared" si="2"/>
        <v>888000</v>
      </c>
      <c r="J18" s="9">
        <f t="shared" si="3"/>
        <v>-44400</v>
      </c>
      <c r="K18" s="9">
        <f t="shared" si="4"/>
        <v>843600</v>
      </c>
    </row>
    <row r="19" spans="1:11" ht="30" customHeight="1" x14ac:dyDescent="0.3">
      <c r="A19" s="5" t="s">
        <v>144</v>
      </c>
      <c r="B19" s="5" t="s">
        <v>140</v>
      </c>
      <c r="C19" s="5" t="s">
        <v>141</v>
      </c>
      <c r="D19" s="6" t="s">
        <v>146</v>
      </c>
      <c r="E19" s="6" t="s">
        <v>147</v>
      </c>
      <c r="F19" s="13">
        <v>502920</v>
      </c>
      <c r="G19" s="6">
        <v>0</v>
      </c>
      <c r="H19" s="7">
        <f>F19*5%</f>
        <v>25146</v>
      </c>
      <c r="I19" s="24">
        <f t="shared" si="2"/>
        <v>528066</v>
      </c>
      <c r="J19" s="9">
        <f t="shared" si="3"/>
        <v>-26403.300000000003</v>
      </c>
      <c r="K19" s="9">
        <f t="shared" si="4"/>
        <v>501662.7</v>
      </c>
    </row>
    <row r="20" spans="1:11" ht="30" customHeight="1" x14ac:dyDescent="0.3">
      <c r="A20" s="5" t="s">
        <v>144</v>
      </c>
      <c r="B20" s="5" t="s">
        <v>140</v>
      </c>
      <c r="C20" s="5" t="s">
        <v>141</v>
      </c>
      <c r="D20" s="6" t="s">
        <v>148</v>
      </c>
      <c r="E20" s="6" t="s">
        <v>123</v>
      </c>
      <c r="F20" s="13">
        <v>187600</v>
      </c>
      <c r="G20" s="6">
        <v>0</v>
      </c>
      <c r="H20" s="7"/>
      <c r="I20" s="24">
        <f t="shared" si="2"/>
        <v>187600</v>
      </c>
      <c r="J20" s="9">
        <f t="shared" si="3"/>
        <v>-9380</v>
      </c>
      <c r="K20" s="9">
        <f t="shared" si="4"/>
        <v>178220</v>
      </c>
    </row>
    <row r="21" spans="1:11" ht="30" customHeight="1" x14ac:dyDescent="0.3">
      <c r="A21" s="42"/>
      <c r="B21" s="42"/>
      <c r="C21" s="42"/>
      <c r="D21" s="43"/>
      <c r="E21" s="43"/>
      <c r="F21" s="17"/>
      <c r="G21" s="43"/>
      <c r="H21" s="12"/>
      <c r="I21" s="12"/>
      <c r="J21" s="42"/>
      <c r="K21" s="42"/>
    </row>
    <row r="22" spans="1:11" ht="30" customHeight="1" x14ac:dyDescent="0.3">
      <c r="F22" s="20"/>
      <c r="H22" s="21"/>
      <c r="I22" s="21"/>
      <c r="K22" s="4"/>
    </row>
    <row r="23" spans="1:11" ht="30" customHeight="1" x14ac:dyDescent="0.3">
      <c r="F23" s="20"/>
      <c r="H23" s="21"/>
      <c r="I23" s="21"/>
      <c r="K23" s="4"/>
    </row>
    <row r="24" spans="1:11" ht="30" customHeight="1" x14ac:dyDescent="0.3">
      <c r="F24" s="20"/>
      <c r="H24" s="21"/>
      <c r="I24" s="21"/>
      <c r="K24" s="4"/>
    </row>
    <row r="25" spans="1:11" ht="30" customHeight="1" x14ac:dyDescent="0.3">
      <c r="F25" s="20"/>
      <c r="H25" s="21"/>
      <c r="I25" s="21"/>
      <c r="K25" s="4"/>
    </row>
    <row r="26" spans="1:11" ht="30" customHeight="1" x14ac:dyDescent="0.3">
      <c r="F26" s="20"/>
      <c r="H26" s="21"/>
      <c r="I26" s="21"/>
      <c r="K26" s="4"/>
    </row>
    <row r="27" spans="1:11" ht="30" customHeight="1" x14ac:dyDescent="0.3">
      <c r="F27" s="20"/>
      <c r="H27" s="21"/>
      <c r="I27" s="21"/>
      <c r="K27" s="4"/>
    </row>
    <row r="28" spans="1:11" ht="30" customHeight="1" x14ac:dyDescent="0.3">
      <c r="F28" s="20"/>
      <c r="H28" s="21"/>
      <c r="I28" s="21"/>
      <c r="K28" s="4"/>
    </row>
    <row r="29" spans="1:11" ht="30" customHeight="1" x14ac:dyDescent="0.3">
      <c r="F29" s="20"/>
      <c r="H29" s="21"/>
      <c r="I29" s="21"/>
      <c r="K29" s="4"/>
    </row>
    <row r="30" spans="1:11" ht="30" customHeight="1" x14ac:dyDescent="0.3">
      <c r="F30" s="20"/>
      <c r="H30" s="21"/>
      <c r="I30" s="21"/>
      <c r="K30" s="4"/>
    </row>
    <row r="31" spans="1:11" ht="30" customHeight="1" x14ac:dyDescent="0.3">
      <c r="F31" s="20"/>
      <c r="H31" s="21"/>
      <c r="I31" s="21"/>
      <c r="K31" s="4"/>
    </row>
    <row r="32" spans="1:11" ht="30" customHeight="1" x14ac:dyDescent="0.3">
      <c r="F32" s="20"/>
      <c r="H32" s="21"/>
      <c r="I32" s="21"/>
      <c r="K32" s="4"/>
    </row>
    <row r="33" spans="4:9" s="4" customFormat="1" ht="30" customHeight="1" x14ac:dyDescent="0.3">
      <c r="D33" s="11"/>
      <c r="E33" s="11"/>
      <c r="F33" s="20"/>
      <c r="G33" s="11"/>
      <c r="H33" s="21"/>
      <c r="I33" s="21"/>
    </row>
    <row r="34" spans="4:9" s="4" customFormat="1" ht="30" customHeight="1" x14ac:dyDescent="0.3">
      <c r="D34" s="11"/>
      <c r="E34" s="11"/>
      <c r="F34" s="20"/>
      <c r="G34" s="11"/>
      <c r="H34" s="21"/>
      <c r="I34" s="21"/>
    </row>
    <row r="35" spans="4:9" s="4" customFormat="1" ht="30" customHeight="1" x14ac:dyDescent="0.3">
      <c r="D35" s="11"/>
      <c r="E35" s="11"/>
      <c r="F35" s="20"/>
      <c r="G35" s="11"/>
      <c r="H35" s="21"/>
      <c r="I35" s="21"/>
    </row>
    <row r="36" spans="4:9" s="4" customFormat="1" ht="30" customHeight="1" x14ac:dyDescent="0.3">
      <c r="D36" s="11"/>
      <c r="E36" s="11"/>
      <c r="F36" s="20"/>
      <c r="G36" s="11"/>
      <c r="H36" s="21"/>
      <c r="I36" s="21"/>
    </row>
    <row r="37" spans="4:9" s="4" customFormat="1" ht="30" customHeight="1" x14ac:dyDescent="0.3">
      <c r="D37" s="11"/>
      <c r="E37" s="11"/>
      <c r="F37" s="20"/>
      <c r="G37" s="11"/>
      <c r="H37" s="21"/>
      <c r="I37" s="21"/>
    </row>
    <row r="38" spans="4:9" s="4" customFormat="1" ht="30" customHeight="1" x14ac:dyDescent="0.3">
      <c r="D38" s="11"/>
      <c r="E38" s="11"/>
      <c r="F38" s="20"/>
      <c r="G38" s="11"/>
      <c r="H38" s="21"/>
      <c r="I38" s="21"/>
    </row>
    <row r="39" spans="4:9" s="4" customFormat="1" ht="30" customHeight="1" x14ac:dyDescent="0.3">
      <c r="D39" s="11"/>
      <c r="E39" s="11"/>
      <c r="F39" s="20"/>
      <c r="G39" s="11"/>
      <c r="H39" s="21"/>
      <c r="I39" s="21"/>
    </row>
    <row r="40" spans="4:9" s="4" customFormat="1" ht="30" customHeight="1" x14ac:dyDescent="0.3">
      <c r="D40" s="11"/>
      <c r="E40" s="11"/>
      <c r="F40" s="20"/>
      <c r="G40" s="11"/>
      <c r="H40" s="21"/>
      <c r="I40" s="21"/>
    </row>
    <row r="41" spans="4:9" s="4" customFormat="1" ht="30" customHeight="1" x14ac:dyDescent="0.3">
      <c r="D41" s="11"/>
      <c r="E41" s="11"/>
      <c r="F41" s="20"/>
      <c r="G41" s="11"/>
      <c r="H41" s="21"/>
      <c r="I41" s="21"/>
    </row>
    <row r="42" spans="4:9" s="4" customFormat="1" ht="30" customHeight="1" x14ac:dyDescent="0.3">
      <c r="D42" s="11"/>
      <c r="E42" s="11"/>
      <c r="F42" s="20"/>
      <c r="G42" s="11"/>
      <c r="H42" s="21"/>
      <c r="I42" s="21"/>
    </row>
    <row r="43" spans="4:9" s="4" customFormat="1" ht="30" customHeight="1" x14ac:dyDescent="0.3">
      <c r="D43" s="11"/>
      <c r="E43" s="11"/>
      <c r="F43" s="20"/>
      <c r="G43" s="11"/>
      <c r="H43" s="21"/>
      <c r="I43" s="21"/>
    </row>
    <row r="44" spans="4:9" s="4" customFormat="1" ht="30" customHeight="1" x14ac:dyDescent="0.3">
      <c r="D44" s="11"/>
      <c r="E44" s="11"/>
      <c r="F44" s="20"/>
      <c r="G44" s="11"/>
      <c r="H44" s="21"/>
      <c r="I44" s="21"/>
    </row>
    <row r="45" spans="4:9" s="4" customFormat="1" ht="30" customHeight="1" x14ac:dyDescent="0.3">
      <c r="D45" s="11"/>
      <c r="E45" s="11"/>
      <c r="F45" s="20"/>
      <c r="G45" s="11"/>
      <c r="H45" s="21"/>
      <c r="I45" s="21"/>
    </row>
    <row r="46" spans="4:9" s="4" customFormat="1" ht="30" customHeight="1" x14ac:dyDescent="0.3">
      <c r="D46" s="11"/>
      <c r="E46" s="11"/>
      <c r="F46" s="20"/>
      <c r="G46" s="11"/>
      <c r="H46" s="21"/>
      <c r="I46" s="21"/>
    </row>
    <row r="47" spans="4:9" s="4" customFormat="1" ht="30" customHeight="1" x14ac:dyDescent="0.3">
      <c r="D47" s="11"/>
      <c r="E47" s="11"/>
      <c r="F47" s="20"/>
      <c r="G47" s="11"/>
      <c r="H47" s="21"/>
      <c r="I47" s="21"/>
    </row>
    <row r="48" spans="4:9" s="4" customFormat="1" ht="30" customHeight="1" x14ac:dyDescent="0.3">
      <c r="D48" s="11"/>
      <c r="E48" s="11"/>
      <c r="F48" s="20"/>
      <c r="G48" s="11"/>
      <c r="H48" s="21"/>
      <c r="I48" s="21"/>
    </row>
    <row r="49" spans="4:9" s="4" customFormat="1" ht="30" customHeight="1" x14ac:dyDescent="0.3">
      <c r="D49" s="11"/>
      <c r="E49" s="11"/>
      <c r="F49" s="20"/>
      <c r="G49" s="11"/>
      <c r="H49" s="21"/>
      <c r="I49" s="21"/>
    </row>
    <row r="50" spans="4:9" s="4" customFormat="1" ht="30" customHeight="1" x14ac:dyDescent="0.3">
      <c r="D50" s="11"/>
      <c r="E50" s="11"/>
      <c r="F50" s="20"/>
      <c r="G50" s="11"/>
      <c r="H50" s="21"/>
      <c r="I50" s="21"/>
    </row>
    <row r="51" spans="4:9" s="4" customFormat="1" ht="30" customHeight="1" x14ac:dyDescent="0.3">
      <c r="D51" s="11"/>
      <c r="E51" s="11"/>
      <c r="F51" s="20"/>
      <c r="G51" s="11"/>
      <c r="H51" s="21"/>
      <c r="I51" s="21"/>
    </row>
    <row r="52" spans="4:9" s="4" customFormat="1" ht="30" customHeight="1" x14ac:dyDescent="0.3">
      <c r="D52" s="11"/>
      <c r="E52" s="11"/>
      <c r="F52" s="20"/>
      <c r="G52" s="11"/>
      <c r="H52" s="21"/>
      <c r="I52" s="21"/>
    </row>
    <row r="53" spans="4:9" s="4" customFormat="1" ht="30" customHeight="1" x14ac:dyDescent="0.3">
      <c r="D53" s="11"/>
      <c r="E53" s="11"/>
      <c r="F53" s="20"/>
      <c r="G53" s="11"/>
      <c r="H53" s="21"/>
      <c r="I53" s="21"/>
    </row>
    <row r="54" spans="4:9" s="4" customFormat="1" ht="30" customHeight="1" x14ac:dyDescent="0.3">
      <c r="D54" s="11"/>
      <c r="E54" s="11"/>
      <c r="F54" s="20"/>
      <c r="G54" s="11"/>
      <c r="H54" s="21"/>
      <c r="I54" s="21"/>
    </row>
    <row r="55" spans="4:9" s="4" customFormat="1" ht="30" customHeight="1" x14ac:dyDescent="0.3">
      <c r="D55" s="11"/>
      <c r="E55" s="11"/>
      <c r="F55" s="20"/>
      <c r="G55" s="11"/>
      <c r="H55" s="21"/>
      <c r="I55" s="21"/>
    </row>
    <row r="56" spans="4:9" s="4" customFormat="1" ht="30" customHeight="1" x14ac:dyDescent="0.3">
      <c r="D56" s="11"/>
      <c r="E56" s="11"/>
      <c r="F56" s="20"/>
      <c r="G56" s="11"/>
      <c r="H56" s="21"/>
      <c r="I56" s="21"/>
    </row>
    <row r="57" spans="4:9" s="4" customFormat="1" ht="30" customHeight="1" x14ac:dyDescent="0.3">
      <c r="D57" s="11"/>
      <c r="E57" s="11"/>
      <c r="F57" s="20"/>
      <c r="G57" s="11"/>
      <c r="H57" s="21"/>
      <c r="I57" s="21"/>
    </row>
    <row r="58" spans="4:9" s="4" customFormat="1" ht="30" customHeight="1" x14ac:dyDescent="0.3">
      <c r="D58" s="11"/>
      <c r="E58" s="11"/>
      <c r="F58" s="20"/>
      <c r="G58" s="11"/>
      <c r="H58" s="21"/>
      <c r="I58" s="21"/>
    </row>
    <row r="59" spans="4:9" s="4" customFormat="1" ht="30" customHeight="1" x14ac:dyDescent="0.3">
      <c r="D59" s="11"/>
      <c r="E59" s="11"/>
      <c r="F59" s="20"/>
      <c r="G59" s="11"/>
      <c r="H59" s="21"/>
      <c r="I59" s="21"/>
    </row>
    <row r="60" spans="4:9" s="4" customFormat="1" ht="30" customHeight="1" x14ac:dyDescent="0.3">
      <c r="D60" s="11"/>
      <c r="E60" s="11"/>
      <c r="F60" s="20"/>
      <c r="G60" s="11"/>
      <c r="H60" s="21"/>
      <c r="I60" s="21"/>
    </row>
    <row r="61" spans="4:9" s="4" customFormat="1" ht="30" customHeight="1" x14ac:dyDescent="0.3">
      <c r="D61" s="11"/>
      <c r="E61" s="11"/>
      <c r="F61" s="20"/>
      <c r="G61" s="11"/>
      <c r="H61" s="21"/>
      <c r="I61" s="21"/>
    </row>
    <row r="62" spans="4:9" s="4" customFormat="1" ht="30" customHeight="1" x14ac:dyDescent="0.3">
      <c r="D62" s="11"/>
      <c r="E62" s="11"/>
      <c r="F62" s="20"/>
      <c r="G62" s="11"/>
      <c r="H62" s="21"/>
      <c r="I62" s="21"/>
    </row>
    <row r="63" spans="4:9" s="4" customFormat="1" ht="30" customHeight="1" x14ac:dyDescent="0.3">
      <c r="D63" s="11"/>
      <c r="E63" s="11"/>
      <c r="F63" s="20"/>
      <c r="G63" s="11"/>
      <c r="H63" s="21"/>
      <c r="I63" s="21"/>
    </row>
    <row r="64" spans="4:9" s="4" customFormat="1" ht="30" customHeight="1" x14ac:dyDescent="0.3">
      <c r="D64" s="11"/>
      <c r="E64" s="11"/>
      <c r="F64" s="20"/>
      <c r="G64" s="11"/>
      <c r="H64" s="21"/>
      <c r="I64" s="21"/>
    </row>
    <row r="65" spans="4:9" s="4" customFormat="1" ht="30" customHeight="1" x14ac:dyDescent="0.3">
      <c r="D65" s="11"/>
      <c r="E65" s="11"/>
      <c r="F65" s="20"/>
      <c r="G65" s="11"/>
      <c r="H65" s="21"/>
      <c r="I65" s="21"/>
    </row>
    <row r="66" spans="4:9" s="4" customFormat="1" ht="30" customHeight="1" x14ac:dyDescent="0.3">
      <c r="D66" s="11"/>
      <c r="E66" s="11"/>
      <c r="F66" s="20"/>
      <c r="G66" s="11"/>
      <c r="H66" s="21"/>
      <c r="I66" s="21"/>
    </row>
    <row r="67" spans="4:9" s="4" customFormat="1" ht="30" customHeight="1" x14ac:dyDescent="0.3">
      <c r="D67" s="11"/>
      <c r="E67" s="11"/>
      <c r="F67" s="20"/>
      <c r="G67" s="11"/>
      <c r="H67" s="21"/>
      <c r="I67" s="21"/>
    </row>
    <row r="68" spans="4:9" s="4" customFormat="1" ht="30" customHeight="1" x14ac:dyDescent="0.3">
      <c r="D68" s="11"/>
      <c r="E68" s="11"/>
      <c r="F68" s="20"/>
      <c r="G68" s="11"/>
      <c r="H68" s="21"/>
      <c r="I68" s="21"/>
    </row>
    <row r="69" spans="4:9" s="4" customFormat="1" ht="30" customHeight="1" x14ac:dyDescent="0.3">
      <c r="D69" s="11"/>
      <c r="E69" s="11"/>
      <c r="F69" s="20"/>
      <c r="G69" s="11"/>
      <c r="H69" s="21"/>
      <c r="I69" s="21"/>
    </row>
    <row r="70" spans="4:9" s="4" customFormat="1" ht="30" customHeight="1" x14ac:dyDescent="0.3">
      <c r="D70" s="11"/>
      <c r="E70" s="11"/>
      <c r="F70" s="20"/>
      <c r="G70" s="11"/>
      <c r="H70" s="21"/>
      <c r="I70" s="21"/>
    </row>
    <row r="71" spans="4:9" s="4" customFormat="1" ht="30" customHeight="1" x14ac:dyDescent="0.3">
      <c r="D71" s="11"/>
      <c r="E71" s="11"/>
      <c r="F71" s="20"/>
      <c r="G71" s="11"/>
      <c r="H71" s="21"/>
      <c r="I71" s="21"/>
    </row>
    <row r="72" spans="4:9" s="4" customFormat="1" ht="30" customHeight="1" x14ac:dyDescent="0.3">
      <c r="D72" s="11"/>
      <c r="E72" s="11"/>
      <c r="F72" s="20"/>
      <c r="G72" s="11"/>
      <c r="H72" s="21"/>
      <c r="I72" s="21"/>
    </row>
    <row r="73" spans="4:9" s="4" customFormat="1" ht="30" customHeight="1" x14ac:dyDescent="0.3">
      <c r="D73" s="11"/>
      <c r="E73" s="11"/>
      <c r="F73" s="20"/>
      <c r="G73" s="11"/>
      <c r="H73" s="21"/>
      <c r="I73" s="21"/>
    </row>
    <row r="74" spans="4:9" s="4" customFormat="1" ht="30" customHeight="1" x14ac:dyDescent="0.3">
      <c r="D74" s="11"/>
      <c r="E74" s="11"/>
      <c r="F74" s="20"/>
      <c r="G74" s="11"/>
      <c r="H74" s="21"/>
      <c r="I74" s="21"/>
    </row>
    <row r="75" spans="4:9" s="4" customFormat="1" ht="30" customHeight="1" x14ac:dyDescent="0.3">
      <c r="D75" s="11"/>
      <c r="E75" s="11"/>
      <c r="F75" s="20"/>
      <c r="G75" s="11"/>
      <c r="H75" s="21"/>
      <c r="I75" s="21"/>
    </row>
    <row r="76" spans="4:9" s="4" customFormat="1" ht="30" customHeight="1" x14ac:dyDescent="0.3">
      <c r="D76" s="11"/>
      <c r="E76" s="11"/>
      <c r="F76" s="20"/>
      <c r="G76" s="11"/>
      <c r="H76" s="21"/>
      <c r="I76" s="21"/>
    </row>
    <row r="77" spans="4:9" s="4" customFormat="1" ht="30" customHeight="1" x14ac:dyDescent="0.3">
      <c r="D77" s="11"/>
      <c r="E77" s="11"/>
      <c r="F77" s="20"/>
      <c r="G77" s="11"/>
      <c r="H77" s="21"/>
      <c r="I77" s="21"/>
    </row>
    <row r="78" spans="4:9" s="4" customFormat="1" ht="30" customHeight="1" x14ac:dyDescent="0.3">
      <c r="D78" s="11"/>
      <c r="E78" s="11"/>
      <c r="F78" s="20"/>
      <c r="G78" s="11"/>
      <c r="H78" s="21"/>
      <c r="I78" s="21"/>
    </row>
    <row r="79" spans="4:9" s="4" customFormat="1" ht="30" customHeight="1" x14ac:dyDescent="0.3">
      <c r="D79" s="11"/>
      <c r="E79" s="11"/>
      <c r="F79" s="20"/>
      <c r="G79" s="11"/>
      <c r="H79" s="21"/>
      <c r="I79" s="21"/>
    </row>
    <row r="80" spans="4:9" s="4" customFormat="1" ht="30" customHeight="1" x14ac:dyDescent="0.3">
      <c r="D80" s="11"/>
      <c r="E80" s="11"/>
      <c r="F80" s="20"/>
      <c r="G80" s="11"/>
      <c r="H80" s="21"/>
      <c r="I80" s="21"/>
    </row>
    <row r="81" spans="4:9" s="4" customFormat="1" ht="30" customHeight="1" x14ac:dyDescent="0.3">
      <c r="D81" s="11"/>
      <c r="E81" s="11"/>
      <c r="F81" s="20"/>
      <c r="G81" s="11"/>
      <c r="H81" s="21"/>
      <c r="I81" s="21"/>
    </row>
    <row r="82" spans="4:9" s="4" customFormat="1" ht="30" customHeight="1" x14ac:dyDescent="0.3">
      <c r="D82" s="11"/>
      <c r="E82" s="11"/>
      <c r="F82" s="20"/>
      <c r="G82" s="11"/>
      <c r="H82" s="21"/>
      <c r="I82" s="21"/>
    </row>
    <row r="83" spans="4:9" s="4" customFormat="1" ht="30" customHeight="1" x14ac:dyDescent="0.3">
      <c r="D83" s="11"/>
      <c r="E83" s="11"/>
      <c r="F83" s="20"/>
      <c r="G83" s="11"/>
      <c r="H83" s="21"/>
      <c r="I83" s="21"/>
    </row>
    <row r="84" spans="4:9" s="4" customFormat="1" ht="30" customHeight="1" x14ac:dyDescent="0.3">
      <c r="D84" s="11"/>
      <c r="E84" s="11"/>
      <c r="F84" s="20"/>
      <c r="G84" s="11"/>
      <c r="H84" s="21"/>
      <c r="I84" s="21"/>
    </row>
    <row r="85" spans="4:9" s="4" customFormat="1" ht="30" customHeight="1" x14ac:dyDescent="0.3">
      <c r="D85" s="11"/>
      <c r="E85" s="11"/>
      <c r="F85" s="20"/>
      <c r="G85" s="11"/>
      <c r="H85" s="21"/>
      <c r="I85" s="21"/>
    </row>
    <row r="86" spans="4:9" s="4" customFormat="1" ht="30" customHeight="1" x14ac:dyDescent="0.3">
      <c r="D86" s="11"/>
      <c r="E86" s="11"/>
      <c r="F86" s="20"/>
      <c r="G86" s="11"/>
      <c r="H86" s="21"/>
      <c r="I86" s="21"/>
    </row>
    <row r="87" spans="4:9" s="4" customFormat="1" ht="30" customHeight="1" x14ac:dyDescent="0.3">
      <c r="D87" s="11"/>
      <c r="E87" s="11"/>
      <c r="F87" s="20"/>
      <c r="G87" s="11"/>
      <c r="H87" s="21"/>
      <c r="I87" s="21"/>
    </row>
    <row r="88" spans="4:9" s="4" customFormat="1" ht="30" customHeight="1" x14ac:dyDescent="0.3">
      <c r="D88" s="11"/>
      <c r="E88" s="11"/>
      <c r="F88" s="20"/>
      <c r="G88" s="11"/>
      <c r="H88" s="21"/>
      <c r="I88" s="21"/>
    </row>
    <row r="89" spans="4:9" s="4" customFormat="1" ht="30" customHeight="1" x14ac:dyDescent="0.3">
      <c r="D89" s="11"/>
      <c r="E89" s="11"/>
      <c r="F89" s="20"/>
      <c r="G89" s="11"/>
      <c r="H89" s="21"/>
      <c r="I89" s="21"/>
    </row>
    <row r="90" spans="4:9" s="4" customFormat="1" ht="30" customHeight="1" x14ac:dyDescent="0.3">
      <c r="D90" s="11"/>
      <c r="E90" s="11"/>
      <c r="F90" s="20"/>
      <c r="G90" s="11"/>
      <c r="H90" s="21"/>
      <c r="I90" s="21"/>
    </row>
    <row r="91" spans="4:9" s="4" customFormat="1" ht="30" customHeight="1" x14ac:dyDescent="0.3">
      <c r="D91" s="11"/>
      <c r="E91" s="11"/>
      <c r="F91" s="20"/>
      <c r="G91" s="11"/>
      <c r="H91" s="21"/>
      <c r="I91" s="21"/>
    </row>
    <row r="92" spans="4:9" s="4" customFormat="1" ht="30" customHeight="1" x14ac:dyDescent="0.3">
      <c r="D92" s="11"/>
      <c r="E92" s="11"/>
      <c r="F92" s="20"/>
      <c r="G92" s="11"/>
      <c r="H92" s="21"/>
      <c r="I92" s="21"/>
    </row>
    <row r="93" spans="4:9" s="4" customFormat="1" ht="30" customHeight="1" x14ac:dyDescent="0.3">
      <c r="D93" s="11"/>
      <c r="E93" s="11"/>
      <c r="F93" s="20"/>
      <c r="G93" s="11"/>
      <c r="H93" s="21"/>
      <c r="I93" s="21"/>
    </row>
    <row r="94" spans="4:9" s="4" customFormat="1" ht="30" customHeight="1" x14ac:dyDescent="0.3">
      <c r="D94" s="11"/>
      <c r="E94" s="11"/>
      <c r="F94" s="20"/>
      <c r="G94" s="11"/>
      <c r="H94" s="21"/>
      <c r="I94" s="21"/>
    </row>
    <row r="95" spans="4:9" s="4" customFormat="1" ht="30" customHeight="1" x14ac:dyDescent="0.3">
      <c r="D95" s="11"/>
      <c r="E95" s="11"/>
      <c r="F95" s="20"/>
      <c r="G95" s="11"/>
      <c r="H95" s="21"/>
      <c r="I95" s="21"/>
    </row>
    <row r="96" spans="4:9" s="4" customFormat="1" ht="30" customHeight="1" x14ac:dyDescent="0.3">
      <c r="D96" s="11"/>
      <c r="E96" s="11"/>
      <c r="F96" s="20"/>
      <c r="G96" s="11"/>
      <c r="H96" s="21"/>
      <c r="I96" s="21"/>
    </row>
    <row r="97" spans="4:9" s="4" customFormat="1" ht="30" customHeight="1" x14ac:dyDescent="0.3">
      <c r="D97" s="11"/>
      <c r="E97" s="11"/>
      <c r="F97" s="20"/>
      <c r="G97" s="11"/>
      <c r="H97" s="21"/>
      <c r="I97" s="21"/>
    </row>
    <row r="98" spans="4:9" s="4" customFormat="1" ht="30" customHeight="1" x14ac:dyDescent="0.3">
      <c r="D98" s="11"/>
      <c r="E98" s="11"/>
      <c r="F98" s="20"/>
      <c r="G98" s="11"/>
      <c r="H98" s="21"/>
      <c r="I98" s="21"/>
    </row>
    <row r="99" spans="4:9" s="4" customFormat="1" ht="30" customHeight="1" x14ac:dyDescent="0.3">
      <c r="D99" s="11"/>
      <c r="E99" s="11"/>
      <c r="F99" s="20"/>
      <c r="G99" s="11"/>
      <c r="H99" s="21"/>
      <c r="I99" s="21"/>
    </row>
    <row r="100" spans="4:9" s="4" customFormat="1" ht="30" customHeight="1" x14ac:dyDescent="0.3">
      <c r="D100" s="11"/>
      <c r="E100" s="11"/>
      <c r="F100" s="20"/>
      <c r="G100" s="11"/>
      <c r="H100" s="21"/>
      <c r="I100" s="21"/>
    </row>
    <row r="101" spans="4:9" s="4" customFormat="1" ht="30" customHeight="1" x14ac:dyDescent="0.3">
      <c r="D101" s="11"/>
      <c r="E101" s="11"/>
      <c r="F101" s="20"/>
      <c r="G101" s="11"/>
      <c r="H101" s="21"/>
      <c r="I101" s="21"/>
    </row>
    <row r="102" spans="4:9" s="4" customFormat="1" ht="30" customHeight="1" x14ac:dyDescent="0.3">
      <c r="D102" s="11"/>
      <c r="E102" s="11"/>
      <c r="F102" s="20"/>
      <c r="G102" s="11"/>
      <c r="H102" s="21"/>
      <c r="I102" s="21"/>
    </row>
    <row r="103" spans="4:9" s="4" customFormat="1" ht="30" customHeight="1" x14ac:dyDescent="0.3">
      <c r="D103" s="11"/>
      <c r="E103" s="11"/>
      <c r="F103" s="20"/>
      <c r="G103" s="11"/>
      <c r="H103" s="21"/>
      <c r="I103" s="21"/>
    </row>
    <row r="104" spans="4:9" s="4" customFormat="1" ht="30" customHeight="1" x14ac:dyDescent="0.3">
      <c r="D104" s="11"/>
      <c r="E104" s="11"/>
      <c r="F104" s="20"/>
      <c r="G104" s="11"/>
      <c r="H104" s="21"/>
      <c r="I104" s="21"/>
    </row>
    <row r="105" spans="4:9" s="4" customFormat="1" ht="30" customHeight="1" x14ac:dyDescent="0.3">
      <c r="D105" s="11"/>
      <c r="E105" s="11"/>
      <c r="F105" s="20"/>
      <c r="G105" s="11"/>
      <c r="H105" s="21"/>
      <c r="I105" s="21"/>
    </row>
    <row r="106" spans="4:9" s="4" customFormat="1" ht="30" customHeight="1" x14ac:dyDescent="0.3">
      <c r="D106" s="11"/>
      <c r="E106" s="11"/>
      <c r="F106" s="20"/>
      <c r="G106" s="11"/>
      <c r="H106" s="21"/>
      <c r="I106" s="21"/>
    </row>
    <row r="107" spans="4:9" s="4" customFormat="1" ht="30" customHeight="1" x14ac:dyDescent="0.3">
      <c r="D107" s="11"/>
      <c r="E107" s="11"/>
      <c r="F107" s="20"/>
      <c r="G107" s="11"/>
      <c r="H107" s="21"/>
      <c r="I107" s="21"/>
    </row>
    <row r="108" spans="4:9" s="4" customFormat="1" ht="30" customHeight="1" x14ac:dyDescent="0.3">
      <c r="D108" s="11"/>
      <c r="E108" s="11"/>
      <c r="F108" s="20"/>
      <c r="G108" s="11"/>
      <c r="H108" s="21"/>
      <c r="I108" s="21"/>
    </row>
    <row r="109" spans="4:9" s="4" customFormat="1" ht="30" customHeight="1" x14ac:dyDescent="0.3">
      <c r="D109" s="11"/>
      <c r="E109" s="11"/>
      <c r="F109" s="20"/>
      <c r="G109" s="11"/>
      <c r="H109" s="21"/>
      <c r="I109" s="21"/>
    </row>
    <row r="110" spans="4:9" s="4" customFormat="1" ht="30" customHeight="1" x14ac:dyDescent="0.3">
      <c r="D110" s="11"/>
      <c r="E110" s="11"/>
      <c r="F110" s="20"/>
      <c r="G110" s="11"/>
      <c r="H110" s="21"/>
      <c r="I110" s="21"/>
    </row>
    <row r="111" spans="4:9" s="4" customFormat="1" ht="30" customHeight="1" x14ac:dyDescent="0.3">
      <c r="D111" s="11"/>
      <c r="E111" s="11"/>
      <c r="F111" s="20"/>
      <c r="G111" s="11"/>
      <c r="H111" s="21"/>
      <c r="I111" s="21"/>
    </row>
    <row r="112" spans="4:9" s="4" customFormat="1" ht="30" customHeight="1" x14ac:dyDescent="0.3">
      <c r="D112" s="11"/>
      <c r="E112" s="11"/>
      <c r="F112" s="20"/>
      <c r="G112" s="11"/>
      <c r="H112" s="21"/>
      <c r="I112" s="21"/>
    </row>
    <row r="113" spans="4:9" s="4" customFormat="1" ht="30" customHeight="1" x14ac:dyDescent="0.3">
      <c r="D113" s="11"/>
      <c r="E113" s="11"/>
      <c r="F113" s="20"/>
      <c r="G113" s="11"/>
      <c r="H113" s="21"/>
      <c r="I113" s="21"/>
    </row>
    <row r="114" spans="4:9" s="4" customFormat="1" ht="30" customHeight="1" x14ac:dyDescent="0.3">
      <c r="D114" s="11"/>
      <c r="E114" s="11"/>
      <c r="F114" s="20"/>
      <c r="G114" s="11"/>
      <c r="H114" s="21"/>
      <c r="I114" s="21"/>
    </row>
    <row r="115" spans="4:9" s="4" customFormat="1" ht="30" customHeight="1" x14ac:dyDescent="0.3">
      <c r="D115" s="11"/>
      <c r="E115" s="11"/>
      <c r="F115" s="20"/>
      <c r="G115" s="11"/>
      <c r="H115" s="21"/>
      <c r="I115" s="21"/>
    </row>
    <row r="116" spans="4:9" s="4" customFormat="1" ht="30" customHeight="1" x14ac:dyDescent="0.3">
      <c r="D116" s="11"/>
      <c r="E116" s="11"/>
      <c r="F116" s="20"/>
      <c r="G116" s="11"/>
      <c r="H116" s="21"/>
      <c r="I116" s="21"/>
    </row>
    <row r="117" spans="4:9" s="4" customFormat="1" ht="30" customHeight="1" x14ac:dyDescent="0.3">
      <c r="D117" s="11"/>
      <c r="E117" s="11"/>
      <c r="F117" s="20"/>
      <c r="G117" s="11"/>
      <c r="H117" s="21"/>
      <c r="I117" s="21"/>
    </row>
    <row r="118" spans="4:9" s="4" customFormat="1" ht="30" customHeight="1" x14ac:dyDescent="0.3">
      <c r="D118" s="11"/>
      <c r="E118" s="11"/>
      <c r="F118" s="20"/>
      <c r="G118" s="11"/>
      <c r="H118" s="21"/>
      <c r="I118" s="21"/>
    </row>
    <row r="119" spans="4:9" s="4" customFormat="1" ht="30" customHeight="1" x14ac:dyDescent="0.3">
      <c r="D119" s="11"/>
      <c r="E119" s="11"/>
      <c r="F119" s="20"/>
      <c r="G119" s="11"/>
      <c r="H119" s="21"/>
      <c r="I119" s="21"/>
    </row>
    <row r="120" spans="4:9" s="4" customFormat="1" ht="30" customHeight="1" x14ac:dyDescent="0.3">
      <c r="D120" s="11"/>
      <c r="E120" s="11"/>
      <c r="F120" s="20"/>
      <c r="G120" s="11"/>
      <c r="H120" s="21"/>
      <c r="I120" s="21"/>
    </row>
    <row r="121" spans="4:9" s="4" customFormat="1" ht="30" customHeight="1" x14ac:dyDescent="0.3">
      <c r="D121" s="11"/>
      <c r="E121" s="11"/>
      <c r="F121" s="20"/>
      <c r="G121" s="11"/>
      <c r="H121" s="21"/>
      <c r="I121" s="21"/>
    </row>
    <row r="122" spans="4:9" s="4" customFormat="1" ht="30" customHeight="1" x14ac:dyDescent="0.3">
      <c r="D122" s="11"/>
      <c r="E122" s="11"/>
      <c r="F122" s="20"/>
      <c r="G122" s="11"/>
      <c r="H122" s="21"/>
      <c r="I122" s="21"/>
    </row>
    <row r="123" spans="4:9" s="4" customFormat="1" ht="30" customHeight="1" x14ac:dyDescent="0.3">
      <c r="D123" s="11"/>
      <c r="E123" s="11"/>
      <c r="F123" s="20"/>
      <c r="G123" s="11"/>
      <c r="H123" s="21"/>
      <c r="I123" s="21"/>
    </row>
    <row r="124" spans="4:9" s="4" customFormat="1" ht="30" customHeight="1" x14ac:dyDescent="0.3">
      <c r="D124" s="11"/>
      <c r="E124" s="11"/>
      <c r="F124" s="20"/>
      <c r="G124" s="11"/>
      <c r="H124" s="21"/>
      <c r="I124" s="21"/>
    </row>
    <row r="125" spans="4:9" s="4" customFormat="1" ht="30" customHeight="1" x14ac:dyDescent="0.3">
      <c r="D125" s="11"/>
      <c r="E125" s="11"/>
      <c r="F125" s="20"/>
      <c r="G125" s="11"/>
      <c r="H125" s="21"/>
      <c r="I125" s="21"/>
    </row>
    <row r="126" spans="4:9" s="4" customFormat="1" ht="30" customHeight="1" x14ac:dyDescent="0.3">
      <c r="D126" s="11"/>
      <c r="E126" s="11"/>
      <c r="F126" s="20"/>
      <c r="G126" s="11"/>
      <c r="H126" s="21"/>
      <c r="I126" s="21"/>
    </row>
    <row r="127" spans="4:9" s="4" customFormat="1" ht="30" customHeight="1" x14ac:dyDescent="0.3">
      <c r="D127" s="11"/>
      <c r="E127" s="11"/>
      <c r="F127" s="20"/>
      <c r="G127" s="11"/>
      <c r="H127" s="21"/>
      <c r="I127" s="21"/>
    </row>
    <row r="128" spans="4:9" s="4" customFormat="1" ht="30" customHeight="1" x14ac:dyDescent="0.3">
      <c r="D128" s="11"/>
      <c r="E128" s="11"/>
      <c r="F128" s="20"/>
      <c r="G128" s="11"/>
      <c r="H128" s="21"/>
      <c r="I128" s="21"/>
    </row>
    <row r="129" spans="4:9" s="4" customFormat="1" ht="30" customHeight="1" x14ac:dyDescent="0.3">
      <c r="D129" s="11"/>
      <c r="E129" s="11"/>
      <c r="F129" s="20"/>
      <c r="G129" s="11"/>
      <c r="H129" s="21"/>
      <c r="I129" s="21"/>
    </row>
    <row r="130" spans="4:9" s="4" customFormat="1" ht="30" customHeight="1" x14ac:dyDescent="0.3">
      <c r="D130" s="11"/>
      <c r="E130" s="11"/>
      <c r="F130" s="20"/>
      <c r="G130" s="11"/>
      <c r="H130" s="21"/>
      <c r="I130" s="21"/>
    </row>
    <row r="131" spans="4:9" s="4" customFormat="1" ht="30" customHeight="1" x14ac:dyDescent="0.3">
      <c r="D131" s="11"/>
      <c r="E131" s="11"/>
      <c r="F131" s="20"/>
      <c r="G131" s="11"/>
      <c r="H131" s="21"/>
      <c r="I131" s="21"/>
    </row>
    <row r="132" spans="4:9" s="4" customFormat="1" ht="30" customHeight="1" x14ac:dyDescent="0.3">
      <c r="D132" s="11"/>
      <c r="E132" s="11"/>
      <c r="F132" s="20"/>
      <c r="G132" s="11"/>
      <c r="H132" s="21"/>
      <c r="I132" s="21"/>
    </row>
    <row r="133" spans="4:9" s="4" customFormat="1" ht="30" customHeight="1" x14ac:dyDescent="0.3">
      <c r="D133" s="11"/>
      <c r="E133" s="11"/>
      <c r="F133" s="20"/>
      <c r="G133" s="11"/>
      <c r="H133" s="21"/>
      <c r="I133" s="21"/>
    </row>
    <row r="134" spans="4:9" s="4" customFormat="1" ht="30" customHeight="1" x14ac:dyDescent="0.3">
      <c r="D134" s="11"/>
      <c r="E134" s="11"/>
      <c r="F134" s="20"/>
      <c r="G134" s="11"/>
      <c r="H134" s="21"/>
      <c r="I134" s="21"/>
    </row>
    <row r="135" spans="4:9" s="4" customFormat="1" ht="30" customHeight="1" x14ac:dyDescent="0.3">
      <c r="D135" s="11"/>
      <c r="E135" s="11"/>
      <c r="F135" s="20"/>
      <c r="G135" s="11"/>
      <c r="H135" s="21"/>
      <c r="I135" s="21"/>
    </row>
    <row r="136" spans="4:9" s="4" customFormat="1" ht="30" customHeight="1" x14ac:dyDescent="0.3">
      <c r="D136" s="11"/>
      <c r="E136" s="11"/>
      <c r="F136" s="20"/>
      <c r="G136" s="11"/>
      <c r="H136" s="21"/>
      <c r="I136" s="21"/>
    </row>
    <row r="137" spans="4:9" s="4" customFormat="1" ht="30" customHeight="1" x14ac:dyDescent="0.3">
      <c r="D137" s="11"/>
      <c r="E137" s="11"/>
      <c r="F137" s="20"/>
      <c r="G137" s="11"/>
      <c r="H137" s="21"/>
      <c r="I137" s="21"/>
    </row>
    <row r="138" spans="4:9" s="4" customFormat="1" ht="30" customHeight="1" x14ac:dyDescent="0.3">
      <c r="D138" s="11"/>
      <c r="E138" s="11"/>
      <c r="F138" s="20"/>
      <c r="G138" s="11"/>
      <c r="H138" s="21"/>
      <c r="I138" s="21"/>
    </row>
    <row r="139" spans="4:9" s="4" customFormat="1" ht="30" customHeight="1" x14ac:dyDescent="0.3">
      <c r="D139" s="11"/>
      <c r="E139" s="11"/>
      <c r="F139" s="20"/>
      <c r="G139" s="11"/>
      <c r="H139" s="21"/>
      <c r="I139" s="21"/>
    </row>
    <row r="140" spans="4:9" s="4" customFormat="1" ht="30" customHeight="1" x14ac:dyDescent="0.3">
      <c r="D140" s="11"/>
      <c r="E140" s="11"/>
      <c r="F140" s="20"/>
      <c r="G140" s="11"/>
      <c r="H140" s="21"/>
      <c r="I140" s="21"/>
    </row>
    <row r="141" spans="4:9" s="4" customFormat="1" ht="30" customHeight="1" x14ac:dyDescent="0.3">
      <c r="D141" s="11"/>
      <c r="E141" s="11"/>
      <c r="F141" s="20"/>
      <c r="G141" s="11"/>
      <c r="H141" s="21"/>
      <c r="I141" s="21"/>
    </row>
    <row r="142" spans="4:9" s="4" customFormat="1" ht="30" customHeight="1" x14ac:dyDescent="0.3">
      <c r="D142" s="11"/>
      <c r="E142" s="11"/>
      <c r="F142" s="20"/>
      <c r="G142" s="11"/>
      <c r="H142" s="21"/>
      <c r="I142" s="21"/>
    </row>
    <row r="143" spans="4:9" s="4" customFormat="1" ht="30" customHeight="1" x14ac:dyDescent="0.3">
      <c r="D143" s="11"/>
      <c r="E143" s="11"/>
      <c r="F143" s="20"/>
      <c r="G143" s="11"/>
      <c r="H143" s="21"/>
      <c r="I143" s="21"/>
    </row>
    <row r="144" spans="4:9" s="4" customFormat="1" ht="30" customHeight="1" x14ac:dyDescent="0.3">
      <c r="D144" s="11"/>
      <c r="E144" s="11"/>
      <c r="F144" s="20"/>
      <c r="G144" s="11"/>
      <c r="H144" s="21"/>
      <c r="I144" s="21"/>
    </row>
    <row r="145" spans="6:11" ht="30" customHeight="1" x14ac:dyDescent="0.3">
      <c r="F145" s="20"/>
      <c r="H145" s="21"/>
      <c r="I145" s="21"/>
      <c r="K145" s="4"/>
    </row>
    <row r="146" spans="6:11" ht="30" customHeight="1" x14ac:dyDescent="0.3">
      <c r="F146" s="20"/>
      <c r="H146" s="21"/>
      <c r="I146" s="21"/>
      <c r="K146" s="4"/>
    </row>
    <row r="147" spans="6:11" ht="30" customHeight="1" x14ac:dyDescent="0.3">
      <c r="F147" s="20"/>
      <c r="H147" s="21"/>
      <c r="I147" s="21"/>
      <c r="K147" s="4"/>
    </row>
    <row r="148" spans="6:11" ht="30" customHeight="1" x14ac:dyDescent="0.3">
      <c r="F148" s="20"/>
      <c r="H148" s="21"/>
      <c r="I148" s="21"/>
      <c r="K148" s="4"/>
    </row>
    <row r="149" spans="6:11" ht="30" customHeight="1" x14ac:dyDescent="0.3">
      <c r="F149" s="20"/>
      <c r="H149" s="21"/>
      <c r="I149" s="21"/>
      <c r="K149" s="4"/>
    </row>
    <row r="150" spans="6:11" ht="30" customHeight="1" x14ac:dyDescent="0.3">
      <c r="F150" s="20"/>
      <c r="H150" s="21"/>
      <c r="I150" s="21"/>
      <c r="K150" s="4"/>
    </row>
    <row r="151" spans="6:11" ht="30" customHeight="1" x14ac:dyDescent="0.3">
      <c r="F151" s="20"/>
      <c r="H151" s="21"/>
      <c r="I151" s="21"/>
      <c r="K151" s="4"/>
    </row>
    <row r="152" spans="6:11" ht="30" customHeight="1" x14ac:dyDescent="0.3">
      <c r="F152" s="20"/>
      <c r="H152" s="21"/>
      <c r="I152" s="21"/>
      <c r="K152" s="4"/>
    </row>
    <row r="153" spans="6:11" ht="30" customHeight="1" x14ac:dyDescent="0.3">
      <c r="F153" s="20"/>
      <c r="H153" s="21"/>
      <c r="I153" s="21"/>
      <c r="K153" s="4"/>
    </row>
    <row r="154" spans="6:11" ht="30" customHeight="1" x14ac:dyDescent="0.3">
      <c r="F154" s="20"/>
      <c r="H154" s="21"/>
      <c r="I154" s="21"/>
      <c r="K154" s="4"/>
    </row>
    <row r="155" spans="6:11" ht="30" customHeight="1" x14ac:dyDescent="0.3">
      <c r="F155" s="20"/>
      <c r="H155" s="21"/>
      <c r="I155" s="21"/>
      <c r="K155" s="4"/>
    </row>
    <row r="156" spans="6:11" ht="30" customHeight="1" x14ac:dyDescent="0.3">
      <c r="F156" s="20"/>
      <c r="H156" s="21"/>
      <c r="I156" s="21"/>
      <c r="K156" s="4"/>
    </row>
    <row r="157" spans="6:11" ht="30" customHeight="1" x14ac:dyDescent="0.3">
      <c r="F157" s="20"/>
      <c r="H157" s="21"/>
      <c r="I157" s="21"/>
      <c r="K157" s="4"/>
    </row>
    <row r="158" spans="6:11" ht="30" customHeight="1" x14ac:dyDescent="0.3">
      <c r="F158" s="20"/>
      <c r="H158" s="21"/>
      <c r="I158" s="21"/>
      <c r="K158" s="4"/>
    </row>
    <row r="159" spans="6:11" ht="30" customHeight="1" x14ac:dyDescent="0.3">
      <c r="F159" s="20"/>
      <c r="H159" s="21"/>
      <c r="I159" s="21"/>
      <c r="K159" s="4"/>
    </row>
    <row r="160" spans="6:11" ht="30" customHeight="1" x14ac:dyDescent="0.3">
      <c r="F160" s="20"/>
      <c r="H160" s="21"/>
      <c r="I160" s="21"/>
      <c r="K160" s="4"/>
    </row>
    <row r="161" spans="6:11" ht="30" customHeight="1" x14ac:dyDescent="0.3">
      <c r="F161" s="20"/>
      <c r="H161" s="21"/>
      <c r="I161" s="21"/>
      <c r="K161" s="4"/>
    </row>
  </sheetData>
  <autoFilter ref="D1:D15" xr:uid="{0D2FA2B3-71CF-48B1-99B7-FEA3A40E6862}"/>
  <phoneticPr fontId="2" type="noConversion"/>
  <conditionalFormatting sqref="A18:D18 A17:H17 A19:H19 A20:E20 J19:K19 J17:K17">
    <cfRule type="timePeriod" dxfId="59" priority="65" timePeriod="thisMonth">
      <formula>AND(MONTH(A17)=MONTH(TODAY()),YEAR(A17)=YEAR(TODAY()))</formula>
    </cfRule>
  </conditionalFormatting>
  <conditionalFormatting sqref="A18:D18">
    <cfRule type="containsText" dxfId="58" priority="64" operator="containsText" text="Kha Wei Chan">
      <formula>NOT(ISERROR(SEARCH("Kha Wei Chan",A18)))</formula>
    </cfRule>
  </conditionalFormatting>
  <conditionalFormatting sqref="A16:F16">
    <cfRule type="timePeriod" dxfId="57" priority="69" timePeriod="thisMonth">
      <formula>AND(MONTH(A16)=MONTH(TODAY()),YEAR(A16)=YEAR(TODAY()))</formula>
    </cfRule>
  </conditionalFormatting>
  <conditionalFormatting sqref="A2:I2 A1:J1 A3:H15 I3:I20">
    <cfRule type="timePeriod" dxfId="56" priority="2671" timePeriod="lastMonth">
      <formula>AND(MONTH(A1)=MONTH(EDATE(TODAY(),0-1)),YEAR(A1)=YEAR(EDATE(TODAY(),0-1)))</formula>
    </cfRule>
  </conditionalFormatting>
  <conditionalFormatting sqref="A16:H17 J16:K17">
    <cfRule type="containsText" dxfId="55" priority="63" operator="containsText" text="Kha Wei Chan">
      <formula>NOT(ISERROR(SEARCH("Kha Wei Chan",A16)))</formula>
    </cfRule>
  </conditionalFormatting>
  <conditionalFormatting sqref="A19:H19 J19:K19">
    <cfRule type="containsText" dxfId="54" priority="52" operator="containsText" text="Kha Wei Chan">
      <formula>NOT(ISERROR(SEARCH("Kha Wei Chan",A19)))</formula>
    </cfRule>
  </conditionalFormatting>
  <conditionalFormatting sqref="A20:H20 J20:K20">
    <cfRule type="containsText" dxfId="53" priority="46" operator="containsText" text="Kha Wei Chan">
      <formula>NOT(ISERROR(SEARCH("Kha Wei Chan",A20)))</formula>
    </cfRule>
  </conditionalFormatting>
  <conditionalFormatting sqref="A3:H15 J3:XFD15 I3:I20 A1:XFD2">
    <cfRule type="containsText" dxfId="52" priority="41" operator="containsText" text="Kha Wei Chan">
      <formula>NOT(ISERROR(SEARCH("Kha Wei Chan",A1)))</formula>
    </cfRule>
    <cfRule type="timePeriod" dxfId="51" priority="42" timePeriod="thisMonth">
      <formula>AND(MONTH(A1)=MONTH(TODAY()),YEAR(A1)=YEAR(TODAY()))</formula>
    </cfRule>
  </conditionalFormatting>
  <conditionalFormatting sqref="L16:XFD20 A21:XFD1048576">
    <cfRule type="timePeriod" dxfId="50" priority="2670" timePeriod="thisMonth">
      <formula>AND(MONTH(A16)=MONTH(TODAY()),YEAR(A16)=YEAR(TODAY()))</formula>
    </cfRule>
  </conditionalFormatting>
  <conditionalFormatting sqref="A21:XFD1048576">
    <cfRule type="containsText" dxfId="49" priority="2665" operator="containsText" text="Kha Wei Chan">
      <formula>NOT(ISERROR(SEARCH("Kha Wei Chan",A21)))</formula>
    </cfRule>
  </conditionalFormatting>
  <conditionalFormatting sqref="F18:G18">
    <cfRule type="timePeriod" dxfId="48" priority="53" timePeriod="thisMonth">
      <formula>AND(MONTH(F18)=MONTH(TODAY()),YEAR(F18)=YEAR(TODAY()))</formula>
    </cfRule>
  </conditionalFormatting>
  <conditionalFormatting sqref="F20:G20">
    <cfRule type="timePeriod" dxfId="47" priority="43" timePeriod="thisMonth">
      <formula>AND(MONTH(F20)=MONTH(TODAY()),YEAR(F20)=YEAR(TODAY()))</formula>
    </cfRule>
  </conditionalFormatting>
  <conditionalFormatting sqref="F17:H17">
    <cfRule type="timePeriod" dxfId="46" priority="58" timePeriod="lastMonth">
      <formula>AND(MONTH(F17)=MONTH(EDATE(TODAY(),0-1)),YEAR(F17)=YEAR(EDATE(TODAY(),0-1)))</formula>
    </cfRule>
  </conditionalFormatting>
  <conditionalFormatting sqref="F18:H18">
    <cfRule type="timePeriod" dxfId="45" priority="54" timePeriod="lastMonth">
      <formula>AND(MONTH(F18)=MONTH(EDATE(TODAY(),0-1)),YEAR(F18)=YEAR(EDATE(TODAY(),0-1)))</formula>
    </cfRule>
  </conditionalFormatting>
  <conditionalFormatting sqref="F19:H19">
    <cfRule type="timePeriod" dxfId="44" priority="48" timePeriod="lastMonth">
      <formula>AND(MONTH(F19)=MONTH(EDATE(TODAY(),0-1)),YEAR(F19)=YEAR(EDATE(TODAY(),0-1)))</formula>
    </cfRule>
  </conditionalFormatting>
  <conditionalFormatting sqref="F20:H20">
    <cfRule type="timePeriod" dxfId="43" priority="44" timePeriod="lastMonth">
      <formula>AND(MONTH(F20)=MONTH(EDATE(TODAY(),0-1)),YEAR(F20)=YEAR(EDATE(TODAY(),0-1)))</formula>
    </cfRule>
  </conditionalFormatting>
  <conditionalFormatting sqref="F17:H18 J17:K18">
    <cfRule type="timePeriod" dxfId="42" priority="57" timePeriod="thisMonth">
      <formula>AND(MONTH(F17)=MONTH(TODAY()),YEAR(F17)=YEAR(TODAY()))</formula>
    </cfRule>
  </conditionalFormatting>
  <conditionalFormatting sqref="F18:H18 J18:K18">
    <cfRule type="containsText" dxfId="41" priority="56" operator="containsText" text="Kha Wei Chan">
      <formula>NOT(ISERROR(SEARCH("Kha Wei Chan",F18)))</formula>
    </cfRule>
  </conditionalFormatting>
  <conditionalFormatting sqref="F19:H20 J19:K20">
    <cfRule type="timePeriod" dxfId="40" priority="47" timePeriod="thisMonth">
      <formula>AND(MONTH(F19)=MONTH(TODAY()),YEAR(F19)=YEAR(TODAY()))</formula>
    </cfRule>
  </conditionalFormatting>
  <conditionalFormatting sqref="G5:H5">
    <cfRule type="timePeriod" dxfId="39" priority="2622" timePeriod="thisMonth">
      <formula>AND(MONTH(G5)=MONTH(TODAY()),YEAR(G5)=YEAR(TODAY()))</formula>
    </cfRule>
  </conditionalFormatting>
  <conditionalFormatting sqref="G7:H7">
    <cfRule type="timePeriod" dxfId="38" priority="2621" timePeriod="thisMonth">
      <formula>AND(MONTH(G7)=MONTH(TODAY()),YEAR(G7)=YEAR(TODAY()))</formula>
    </cfRule>
  </conditionalFormatting>
  <conditionalFormatting sqref="G9:H9">
    <cfRule type="timePeriod" dxfId="37" priority="2620" timePeriod="thisMonth">
      <formula>AND(MONTH(G9)=MONTH(TODAY()),YEAR(G9)=YEAR(TODAY()))</formula>
    </cfRule>
  </conditionalFormatting>
  <conditionalFormatting sqref="G11:H13">
    <cfRule type="timePeriod" dxfId="36" priority="2617" timePeriod="thisMonth">
      <formula>AND(MONTH(G11)=MONTH(TODAY()),YEAR(G11)=YEAR(TODAY()))</formula>
    </cfRule>
  </conditionalFormatting>
  <conditionalFormatting sqref="G17:H17">
    <cfRule type="timePeriod" dxfId="35" priority="61" timePeriod="lastMonth">
      <formula>AND(MONTH(G17)=MONTH(EDATE(TODAY(),0-1)),YEAR(G17)=YEAR(EDATE(TODAY(),0-1)))</formula>
    </cfRule>
  </conditionalFormatting>
  <conditionalFormatting sqref="G16:H17 J16:J17">
    <cfRule type="timePeriod" dxfId="34" priority="60" timePeriod="lastMonth">
      <formula>AND(MONTH(G16)=MONTH(EDATE(TODAY(),0-1)),YEAR(G16)=YEAR(EDATE(TODAY(),0-1)))</formula>
    </cfRule>
  </conditionalFormatting>
  <conditionalFormatting sqref="G17:H17 J17">
    <cfRule type="timePeriod" dxfId="33" priority="59" timePeriod="thisMonth">
      <formula>AND(MONTH(G17)=MONTH(TODAY()),YEAR(G17)=YEAR(TODAY()))</formula>
    </cfRule>
  </conditionalFormatting>
  <conditionalFormatting sqref="G19:H19 J19">
    <cfRule type="timePeriod" dxfId="32" priority="49" timePeriod="thisMonth">
      <formula>AND(MONTH(G19)=MONTH(TODAY()),YEAR(G19)=YEAR(TODAY()))</formula>
    </cfRule>
    <cfRule type="timePeriod" dxfId="31" priority="50" timePeriod="lastMonth">
      <formula>AND(MONTH(G19)=MONTH(EDATE(TODAY(),0-1)),YEAR(G19)=YEAR(EDATE(TODAY(),0-1)))</formula>
    </cfRule>
  </conditionalFormatting>
  <conditionalFormatting sqref="G16:H17 J16:K17">
    <cfRule type="timePeriod" dxfId="30" priority="62" timePeriod="thisMonth">
      <formula>AND(MONTH(G16)=MONTH(TODAY()),YEAR(G16)=YEAR(TODAY()))</formula>
    </cfRule>
  </conditionalFormatting>
  <conditionalFormatting sqref="G19:H19 J19:K19">
    <cfRule type="timePeriod" dxfId="29" priority="51" timePeriod="thisMonth">
      <formula>AND(MONTH(G19)=MONTH(TODAY()),YEAR(G19)=YEAR(TODAY()))</formula>
    </cfRule>
  </conditionalFormatting>
  <conditionalFormatting sqref="H18 J18:K18">
    <cfRule type="timePeriod" dxfId="28" priority="55" timePeriod="thisMonth">
      <formula>AND(MONTH(H18)=MONTH(TODAY()),YEAR(H18)=YEAR(TODAY()))</formula>
    </cfRule>
  </conditionalFormatting>
  <conditionalFormatting sqref="H20 J20:K20">
    <cfRule type="timePeriod" dxfId="27" priority="45" timePeriod="thisMonth">
      <formula>AND(MONTH(H20)=MONTH(TODAY()),YEAR(H20)=YEAR(TODAY()))</formula>
    </cfRule>
  </conditionalFormatting>
  <conditionalFormatting sqref="L16:XFD20">
    <cfRule type="containsText" dxfId="26" priority="2091" operator="containsText" text="Kha Wei Chan">
      <formula>NOT(ISERROR(SEARCH("Kha Wei Chan",L16)))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O402"/>
  <sheetViews>
    <sheetView zoomScale="83" zoomScaleNormal="83" workbookViewId="0">
      <pane ySplit="2" topLeftCell="A3" activePane="bottomLeft" state="frozen"/>
      <selection activeCell="B1" sqref="B1"/>
      <selection pane="bottomLeft" activeCell="E42" sqref="E42"/>
    </sheetView>
  </sheetViews>
  <sheetFormatPr defaultColWidth="8.77734375" defaultRowHeight="30" customHeight="1" x14ac:dyDescent="0.3"/>
  <cols>
    <col min="1" max="1" width="14" style="4" customWidth="1"/>
    <col min="2" max="2" width="13.88671875" style="4" customWidth="1"/>
    <col min="3" max="3" width="15.88671875" style="4" customWidth="1"/>
    <col min="4" max="4" width="14.33203125" style="11" customWidth="1"/>
    <col min="5" max="5" width="48.6640625" style="30" customWidth="1"/>
    <col min="6" max="6" width="10.77734375" style="4" customWidth="1"/>
    <col min="7" max="7" width="8.77734375" style="4"/>
    <col min="8" max="8" width="17.33203125" style="15" customWidth="1"/>
    <col min="9" max="9" width="18.109375" style="19" customWidth="1"/>
    <col min="10" max="10" width="15" style="19" customWidth="1"/>
    <col min="11" max="11" width="25.44140625" style="19" customWidth="1"/>
    <col min="12" max="12" width="47.6640625" style="4" customWidth="1"/>
    <col min="13" max="13" width="8.77734375" style="4"/>
    <col min="14" max="14" width="25.33203125" style="4" customWidth="1"/>
    <col min="15" max="16384" width="8.77734375" style="4"/>
  </cols>
  <sheetData>
    <row r="1" spans="1:15" ht="30" customHeight="1" x14ac:dyDescent="0.3">
      <c r="A1" s="62" t="s">
        <v>0</v>
      </c>
      <c r="B1" s="56" t="s">
        <v>12</v>
      </c>
      <c r="C1" s="64" t="s">
        <v>1</v>
      </c>
      <c r="D1" s="65" t="s">
        <v>2</v>
      </c>
      <c r="E1" s="66" t="s">
        <v>3</v>
      </c>
      <c r="F1" s="62" t="s">
        <v>4</v>
      </c>
      <c r="G1" s="62"/>
      <c r="H1" s="63" t="s">
        <v>7</v>
      </c>
      <c r="I1" s="61" t="s">
        <v>8</v>
      </c>
      <c r="J1" s="61" t="s">
        <v>9</v>
      </c>
      <c r="K1" s="61" t="s">
        <v>10</v>
      </c>
      <c r="L1" s="59" t="s">
        <v>149</v>
      </c>
    </row>
    <row r="2" spans="1:15" ht="30" customHeight="1" x14ac:dyDescent="0.3">
      <c r="A2" s="62"/>
      <c r="B2" s="57"/>
      <c r="C2" s="64"/>
      <c r="D2" s="65"/>
      <c r="E2" s="66"/>
      <c r="F2" s="26" t="s">
        <v>6</v>
      </c>
      <c r="G2" s="26" t="s">
        <v>5</v>
      </c>
      <c r="H2" s="63"/>
      <c r="I2" s="61"/>
      <c r="J2" s="61"/>
      <c r="K2" s="61"/>
      <c r="L2" s="59"/>
    </row>
    <row r="3" spans="1:15" ht="30" customHeight="1" x14ac:dyDescent="0.3">
      <c r="A3" s="5" t="s">
        <v>31</v>
      </c>
      <c r="B3" s="5" t="s">
        <v>32</v>
      </c>
      <c r="C3" s="5" t="s">
        <v>45</v>
      </c>
      <c r="D3" s="6" t="s">
        <v>46</v>
      </c>
      <c r="E3" s="27" t="s">
        <v>47</v>
      </c>
      <c r="F3" s="5"/>
      <c r="G3" s="5">
        <v>120</v>
      </c>
      <c r="H3" s="54">
        <v>1500</v>
      </c>
      <c r="I3" s="13">
        <f>H3*G3</f>
        <v>180000</v>
      </c>
      <c r="J3" s="13"/>
      <c r="K3" s="13">
        <f>I3+J3</f>
        <v>180000</v>
      </c>
      <c r="L3" s="49" t="s">
        <v>150</v>
      </c>
      <c r="N3" s="7">
        <v>7500</v>
      </c>
      <c r="O3" s="25">
        <f t="shared" ref="O3:O39" si="0">N3*N$43</f>
        <v>1500</v>
      </c>
    </row>
    <row r="4" spans="1:15" ht="30" customHeight="1" thickBot="1" x14ac:dyDescent="0.35">
      <c r="A4" s="58" t="s">
        <v>11</v>
      </c>
      <c r="B4" s="58"/>
      <c r="C4" s="58"/>
      <c r="D4" s="58"/>
      <c r="E4" s="58"/>
      <c r="F4" s="58"/>
      <c r="G4" s="60"/>
      <c r="H4" s="37">
        <v>0</v>
      </c>
      <c r="I4" s="28">
        <f>I3</f>
        <v>180000</v>
      </c>
      <c r="J4" s="28"/>
      <c r="K4" s="28">
        <f>I4</f>
        <v>180000</v>
      </c>
      <c r="N4" s="37"/>
      <c r="O4" s="25">
        <f t="shared" si="0"/>
        <v>0</v>
      </c>
    </row>
    <row r="5" spans="1:15" ht="30" customHeight="1" thickTop="1" x14ac:dyDescent="0.3">
      <c r="A5" s="10" t="s">
        <v>32</v>
      </c>
      <c r="B5" s="10" t="s">
        <v>48</v>
      </c>
      <c r="C5" s="10" t="s">
        <v>49</v>
      </c>
      <c r="D5" s="8" t="s">
        <v>57</v>
      </c>
      <c r="E5" s="34" t="s">
        <v>58</v>
      </c>
      <c r="F5" s="10"/>
      <c r="G5" s="10">
        <v>20</v>
      </c>
      <c r="H5" s="14">
        <v>2760</v>
      </c>
      <c r="I5" s="29">
        <f>H5*G5</f>
        <v>55200</v>
      </c>
      <c r="J5" s="29">
        <f>I5*5%</f>
        <v>2760</v>
      </c>
      <c r="K5" s="18">
        <f>I5+J5</f>
        <v>57960</v>
      </c>
      <c r="L5" s="4" t="s">
        <v>151</v>
      </c>
      <c r="N5" s="14">
        <v>13800</v>
      </c>
      <c r="O5" s="25">
        <f t="shared" si="0"/>
        <v>2760</v>
      </c>
    </row>
    <row r="6" spans="1:15" ht="30" customHeight="1" x14ac:dyDescent="0.3">
      <c r="A6" s="5"/>
      <c r="B6" s="5"/>
      <c r="C6" s="5"/>
      <c r="D6" s="6"/>
      <c r="E6" s="27" t="s">
        <v>22</v>
      </c>
      <c r="F6" s="5"/>
      <c r="G6" s="5">
        <v>96</v>
      </c>
      <c r="H6" s="7">
        <v>1940</v>
      </c>
      <c r="I6" s="29">
        <f>H6*G6</f>
        <v>186240</v>
      </c>
      <c r="J6" s="29">
        <f>I6*5%</f>
        <v>9312</v>
      </c>
      <c r="K6" s="18">
        <f>I6+J6</f>
        <v>195552</v>
      </c>
      <c r="L6" s="4" t="s">
        <v>152</v>
      </c>
      <c r="N6" s="7">
        <v>9700</v>
      </c>
      <c r="O6" s="25">
        <f t="shared" si="0"/>
        <v>1940</v>
      </c>
    </row>
    <row r="7" spans="1:15" ht="30" customHeight="1" thickBot="1" x14ac:dyDescent="0.35">
      <c r="A7" s="51" t="s">
        <v>11</v>
      </c>
      <c r="B7" s="51"/>
      <c r="C7" s="51"/>
      <c r="D7" s="51"/>
      <c r="E7" s="51"/>
      <c r="F7" s="51"/>
      <c r="G7" s="51"/>
      <c r="H7" s="53">
        <v>0</v>
      </c>
      <c r="I7" s="32">
        <f>SUM(I5:I6)</f>
        <v>241440</v>
      </c>
      <c r="J7" s="32">
        <f>SUM(J5:J6)</f>
        <v>12072</v>
      </c>
      <c r="K7" s="28">
        <f>I7+J7</f>
        <v>253512</v>
      </c>
      <c r="L7" s="4" t="s">
        <v>153</v>
      </c>
      <c r="N7" s="53"/>
      <c r="O7" s="25">
        <f t="shared" si="0"/>
        <v>0</v>
      </c>
    </row>
    <row r="8" spans="1:15" ht="30" customHeight="1" thickTop="1" x14ac:dyDescent="0.3">
      <c r="A8" s="10" t="s">
        <v>31</v>
      </c>
      <c r="B8" s="10" t="s">
        <v>48</v>
      </c>
      <c r="C8" s="10" t="s">
        <v>49</v>
      </c>
      <c r="D8" s="8" t="s">
        <v>54</v>
      </c>
      <c r="E8" s="34" t="s">
        <v>16</v>
      </c>
      <c r="F8" s="10"/>
      <c r="G8" s="10">
        <v>127</v>
      </c>
      <c r="H8" s="14">
        <v>1120</v>
      </c>
      <c r="I8" s="29">
        <f t="shared" ref="I8:I13" si="1">H8*G8</f>
        <v>142240</v>
      </c>
      <c r="J8" s="29">
        <f t="shared" ref="J8:J14" si="2">I8*5%</f>
        <v>7112</v>
      </c>
      <c r="K8" s="18">
        <f t="shared" ref="K8:K14" si="3">J8+I8</f>
        <v>149352</v>
      </c>
      <c r="N8" s="14">
        <v>5600</v>
      </c>
      <c r="O8" s="25">
        <f t="shared" si="0"/>
        <v>1120</v>
      </c>
    </row>
    <row r="9" spans="1:15" ht="30" customHeight="1" x14ac:dyDescent="0.3">
      <c r="A9" s="5"/>
      <c r="B9" s="5"/>
      <c r="C9" s="5"/>
      <c r="D9" s="6"/>
      <c r="E9" s="27" t="s">
        <v>21</v>
      </c>
      <c r="F9" s="5"/>
      <c r="G9" s="5">
        <v>216</v>
      </c>
      <c r="H9" s="7">
        <v>1120</v>
      </c>
      <c r="I9" s="29">
        <f t="shared" si="1"/>
        <v>241920</v>
      </c>
      <c r="J9" s="29">
        <f t="shared" si="2"/>
        <v>12096</v>
      </c>
      <c r="K9" s="18">
        <f t="shared" si="3"/>
        <v>254016</v>
      </c>
      <c r="N9" s="7">
        <v>5600</v>
      </c>
      <c r="O9" s="25">
        <f t="shared" si="0"/>
        <v>1120</v>
      </c>
    </row>
    <row r="10" spans="1:15" ht="30" customHeight="1" x14ac:dyDescent="0.3">
      <c r="A10" s="5"/>
      <c r="B10" s="5"/>
      <c r="C10" s="5"/>
      <c r="D10" s="6"/>
      <c r="E10" s="27" t="s">
        <v>17</v>
      </c>
      <c r="F10" s="5"/>
      <c r="G10" s="5">
        <v>216</v>
      </c>
      <c r="H10" s="7">
        <v>1120</v>
      </c>
      <c r="I10" s="29">
        <f t="shared" si="1"/>
        <v>241920</v>
      </c>
      <c r="J10" s="29">
        <f t="shared" si="2"/>
        <v>12096</v>
      </c>
      <c r="K10" s="18">
        <f t="shared" si="3"/>
        <v>254016</v>
      </c>
      <c r="N10" s="7">
        <v>5600</v>
      </c>
      <c r="O10" s="25">
        <f t="shared" si="0"/>
        <v>1120</v>
      </c>
    </row>
    <row r="11" spans="1:15" ht="30" customHeight="1" x14ac:dyDescent="0.3">
      <c r="A11" s="5"/>
      <c r="B11" s="5"/>
      <c r="C11" s="5"/>
      <c r="D11" s="6"/>
      <c r="E11" s="27" t="s">
        <v>18</v>
      </c>
      <c r="F11" s="5"/>
      <c r="G11" s="5">
        <v>216</v>
      </c>
      <c r="H11" s="7">
        <v>1120</v>
      </c>
      <c r="I11" s="29">
        <f t="shared" si="1"/>
        <v>241920</v>
      </c>
      <c r="J11" s="29">
        <f t="shared" si="2"/>
        <v>12096</v>
      </c>
      <c r="K11" s="18">
        <f t="shared" si="3"/>
        <v>254016</v>
      </c>
      <c r="N11" s="7">
        <v>5600</v>
      </c>
      <c r="O11" s="25">
        <f t="shared" si="0"/>
        <v>1120</v>
      </c>
    </row>
    <row r="12" spans="1:15" ht="30" customHeight="1" x14ac:dyDescent="0.3">
      <c r="A12" s="5"/>
      <c r="B12" s="5"/>
      <c r="C12" s="5"/>
      <c r="D12" s="6"/>
      <c r="E12" s="27" t="s">
        <v>55</v>
      </c>
      <c r="F12" s="5"/>
      <c r="G12" s="5">
        <v>70</v>
      </c>
      <c r="H12" s="14">
        <v>1120</v>
      </c>
      <c r="I12" s="29">
        <f t="shared" si="1"/>
        <v>78400</v>
      </c>
      <c r="J12" s="29">
        <f t="shared" si="2"/>
        <v>3920</v>
      </c>
      <c r="K12" s="18">
        <f t="shared" si="3"/>
        <v>82320</v>
      </c>
      <c r="N12" s="14">
        <v>5600</v>
      </c>
      <c r="O12" s="25">
        <f t="shared" si="0"/>
        <v>1120</v>
      </c>
    </row>
    <row r="13" spans="1:15" ht="30" customHeight="1" x14ac:dyDescent="0.3">
      <c r="A13" s="5"/>
      <c r="B13" s="5"/>
      <c r="C13" s="5"/>
      <c r="D13" s="6"/>
      <c r="E13" s="27" t="s">
        <v>36</v>
      </c>
      <c r="F13" s="5"/>
      <c r="G13" s="5">
        <v>120</v>
      </c>
      <c r="H13" s="7">
        <v>2800</v>
      </c>
      <c r="I13" s="29">
        <f t="shared" si="1"/>
        <v>336000</v>
      </c>
      <c r="J13" s="29">
        <f t="shared" si="2"/>
        <v>16800</v>
      </c>
      <c r="K13" s="18">
        <f t="shared" si="3"/>
        <v>352800</v>
      </c>
      <c r="N13" s="7">
        <v>14000</v>
      </c>
      <c r="O13" s="25">
        <f t="shared" si="0"/>
        <v>2800</v>
      </c>
    </row>
    <row r="14" spans="1:15" ht="30" customHeight="1" thickBot="1" x14ac:dyDescent="0.35">
      <c r="A14" s="51" t="s">
        <v>11</v>
      </c>
      <c r="B14" s="51"/>
      <c r="C14" s="51"/>
      <c r="D14" s="51"/>
      <c r="E14" s="51"/>
      <c r="F14" s="51"/>
      <c r="G14" s="51"/>
      <c r="H14" s="36">
        <v>0</v>
      </c>
      <c r="I14" s="32">
        <f>SUM(I8:I13)</f>
        <v>1282400</v>
      </c>
      <c r="J14" s="28">
        <f t="shared" si="2"/>
        <v>64120</v>
      </c>
      <c r="K14" s="28">
        <f t="shared" si="3"/>
        <v>1346520</v>
      </c>
      <c r="N14" s="36"/>
      <c r="O14" s="25">
        <f t="shared" si="0"/>
        <v>0</v>
      </c>
    </row>
    <row r="15" spans="1:15" ht="30" customHeight="1" thickTop="1" x14ac:dyDescent="0.3">
      <c r="A15" s="5" t="s">
        <v>31</v>
      </c>
      <c r="B15" s="5" t="s">
        <v>48</v>
      </c>
      <c r="C15" s="5" t="s">
        <v>49</v>
      </c>
      <c r="D15" s="6" t="s">
        <v>59</v>
      </c>
      <c r="E15" s="30" t="s">
        <v>41</v>
      </c>
      <c r="F15" s="5"/>
      <c r="G15" s="5">
        <v>372</v>
      </c>
      <c r="H15" s="7">
        <v>3100</v>
      </c>
      <c r="I15" s="13">
        <f>H15*G15</f>
        <v>1153200</v>
      </c>
      <c r="J15" s="13"/>
      <c r="K15" s="13">
        <v>5766000</v>
      </c>
      <c r="N15" s="7">
        <v>15500</v>
      </c>
      <c r="O15" s="25">
        <f t="shared" si="0"/>
        <v>3100</v>
      </c>
    </row>
    <row r="16" spans="1:15" ht="30" customHeight="1" thickBot="1" x14ac:dyDescent="0.35">
      <c r="A16" s="51" t="s">
        <v>11</v>
      </c>
      <c r="B16" s="51"/>
      <c r="C16" s="51"/>
      <c r="D16" s="51"/>
      <c r="E16" s="51"/>
      <c r="F16" s="51"/>
      <c r="G16" s="51"/>
      <c r="H16" s="36">
        <v>0</v>
      </c>
      <c r="I16" s="35">
        <v>5766000</v>
      </c>
      <c r="J16" s="28"/>
      <c r="K16" s="35">
        <v>5766000</v>
      </c>
      <c r="N16" s="36"/>
      <c r="O16" s="25">
        <f t="shared" si="0"/>
        <v>0</v>
      </c>
    </row>
    <row r="17" spans="1:15" ht="30" customHeight="1" thickTop="1" x14ac:dyDescent="0.3">
      <c r="A17" s="5" t="s">
        <v>33</v>
      </c>
      <c r="B17" s="5" t="s">
        <v>60</v>
      </c>
      <c r="C17" s="5" t="s">
        <v>61</v>
      </c>
      <c r="D17" s="6" t="s">
        <v>62</v>
      </c>
      <c r="E17" s="27" t="s">
        <v>63</v>
      </c>
      <c r="F17" s="5"/>
      <c r="G17" s="5">
        <v>576</v>
      </c>
      <c r="H17" s="7">
        <v>960</v>
      </c>
      <c r="I17" s="18">
        <f>H17*G17</f>
        <v>552960</v>
      </c>
      <c r="J17" s="18">
        <f>I17*5%</f>
        <v>27648</v>
      </c>
      <c r="K17" s="18">
        <f>I17+J17</f>
        <v>580608</v>
      </c>
      <c r="N17" s="7">
        <v>4800</v>
      </c>
      <c r="O17" s="25">
        <f t="shared" si="0"/>
        <v>960</v>
      </c>
    </row>
    <row r="18" spans="1:15" ht="30" customHeight="1" x14ac:dyDescent="0.3">
      <c r="A18" s="5"/>
      <c r="B18" s="5"/>
      <c r="C18" s="5"/>
      <c r="D18" s="6"/>
      <c r="E18" s="27" t="s">
        <v>36</v>
      </c>
      <c r="F18" s="5"/>
      <c r="G18" s="5">
        <v>72</v>
      </c>
      <c r="H18" s="14">
        <v>2800</v>
      </c>
      <c r="I18" s="18">
        <f>H18*G18</f>
        <v>201600</v>
      </c>
      <c r="J18" s="18">
        <f>I18*5%</f>
        <v>10080</v>
      </c>
      <c r="K18" s="18">
        <f>J18+I18</f>
        <v>211680</v>
      </c>
      <c r="N18" s="14">
        <v>14000</v>
      </c>
      <c r="O18" s="25">
        <f t="shared" si="0"/>
        <v>2800</v>
      </c>
    </row>
    <row r="19" spans="1:15" ht="30" customHeight="1" x14ac:dyDescent="0.3">
      <c r="A19" s="5"/>
      <c r="B19" s="5"/>
      <c r="C19" s="5"/>
      <c r="D19" s="6"/>
      <c r="E19" s="30" t="s">
        <v>37</v>
      </c>
      <c r="F19" s="5"/>
      <c r="G19" s="5">
        <v>120</v>
      </c>
      <c r="H19" s="7">
        <v>2800</v>
      </c>
      <c r="I19" s="18">
        <f>H19*G19</f>
        <v>336000</v>
      </c>
      <c r="J19" s="18">
        <f>I19*5%</f>
        <v>16800</v>
      </c>
      <c r="K19" s="18">
        <f>J19+I19</f>
        <v>352800</v>
      </c>
      <c r="N19" s="7">
        <v>14000</v>
      </c>
      <c r="O19" s="25">
        <f t="shared" si="0"/>
        <v>2800</v>
      </c>
    </row>
    <row r="20" spans="1:15" ht="30" customHeight="1" x14ac:dyDescent="0.3">
      <c r="A20" s="5"/>
      <c r="B20" s="5"/>
      <c r="C20" s="5"/>
      <c r="D20" s="6"/>
      <c r="E20" s="27" t="s">
        <v>38</v>
      </c>
      <c r="F20" s="5"/>
      <c r="G20" s="5">
        <v>48</v>
      </c>
      <c r="H20" s="7">
        <v>2800</v>
      </c>
      <c r="I20" s="18">
        <f>H20*G20</f>
        <v>134400</v>
      </c>
      <c r="J20" s="18">
        <f>I20*5%</f>
        <v>6720</v>
      </c>
      <c r="K20" s="18">
        <f>J20+I20</f>
        <v>141120</v>
      </c>
      <c r="N20" s="7">
        <v>14000</v>
      </c>
      <c r="O20" s="25">
        <f t="shared" si="0"/>
        <v>2800</v>
      </c>
    </row>
    <row r="21" spans="1:15" ht="30" customHeight="1" thickBot="1" x14ac:dyDescent="0.35">
      <c r="A21" s="52" t="s">
        <v>11</v>
      </c>
      <c r="B21" s="51"/>
      <c r="C21" s="51"/>
      <c r="D21" s="51"/>
      <c r="E21" s="51"/>
      <c r="F21" s="51"/>
      <c r="G21" s="51"/>
      <c r="H21" s="51">
        <v>0</v>
      </c>
      <c r="I21" s="28">
        <f>SUM(I17:I20)</f>
        <v>1224960</v>
      </c>
      <c r="J21" s="28">
        <f>I21*5%</f>
        <v>61248</v>
      </c>
      <c r="K21" s="28">
        <f>SUM(K17:K20)</f>
        <v>1286208</v>
      </c>
      <c r="N21" s="51"/>
      <c r="O21" s="25">
        <f t="shared" si="0"/>
        <v>0</v>
      </c>
    </row>
    <row r="22" spans="1:15" ht="30" customHeight="1" thickTop="1" x14ac:dyDescent="0.3">
      <c r="A22" s="5" t="s">
        <v>60</v>
      </c>
      <c r="B22" s="5" t="s">
        <v>40</v>
      </c>
      <c r="C22" s="5" t="s">
        <v>72</v>
      </c>
      <c r="D22" s="6" t="s">
        <v>78</v>
      </c>
      <c r="E22" s="27" t="s">
        <v>74</v>
      </c>
      <c r="F22" s="5"/>
      <c r="G22" s="5">
        <v>250</v>
      </c>
      <c r="H22" s="7">
        <v>3000</v>
      </c>
      <c r="I22" s="9">
        <f>H22*G22</f>
        <v>750000</v>
      </c>
      <c r="J22" s="5"/>
      <c r="K22" s="13">
        <v>3750000</v>
      </c>
      <c r="N22" s="7">
        <v>15000</v>
      </c>
      <c r="O22" s="25">
        <f t="shared" si="0"/>
        <v>3000</v>
      </c>
    </row>
    <row r="23" spans="1:15" ht="30" customHeight="1" x14ac:dyDescent="0.3">
      <c r="A23" s="5"/>
      <c r="B23" s="5"/>
      <c r="C23" s="5"/>
      <c r="D23" s="6"/>
      <c r="E23" s="27" t="s">
        <v>77</v>
      </c>
      <c r="F23" s="5"/>
      <c r="G23" s="5">
        <v>120</v>
      </c>
      <c r="H23" s="7">
        <v>3500</v>
      </c>
      <c r="I23" s="9">
        <f>H23*G23</f>
        <v>420000</v>
      </c>
      <c r="J23" s="5"/>
      <c r="K23" s="13">
        <v>2100000</v>
      </c>
      <c r="N23" s="7">
        <v>17500</v>
      </c>
      <c r="O23" s="25">
        <f t="shared" si="0"/>
        <v>3500</v>
      </c>
    </row>
    <row r="24" spans="1:15" ht="30" customHeight="1" thickBot="1" x14ac:dyDescent="0.35">
      <c r="A24" s="58" t="s">
        <v>11</v>
      </c>
      <c r="B24" s="58"/>
      <c r="C24" s="58"/>
      <c r="D24" s="58"/>
      <c r="E24" s="58"/>
      <c r="F24" s="58"/>
      <c r="G24" s="58"/>
      <c r="H24" s="36">
        <v>0</v>
      </c>
      <c r="I24" s="32">
        <f>SUM(I22:I23)</f>
        <v>1170000</v>
      </c>
      <c r="J24" s="33"/>
      <c r="K24" s="28">
        <f>SUM(K22:K23)</f>
        <v>5850000</v>
      </c>
      <c r="N24" s="36"/>
      <c r="O24" s="25">
        <f t="shared" si="0"/>
        <v>0</v>
      </c>
    </row>
    <row r="25" spans="1:15" ht="30" customHeight="1" thickTop="1" x14ac:dyDescent="0.3">
      <c r="A25" s="10" t="s">
        <v>131</v>
      </c>
      <c r="B25" s="10" t="s">
        <v>133</v>
      </c>
      <c r="C25" s="10" t="s">
        <v>134</v>
      </c>
      <c r="D25" s="8" t="s">
        <v>135</v>
      </c>
      <c r="E25" s="34" t="s">
        <v>41</v>
      </c>
      <c r="F25" s="10"/>
      <c r="G25" s="10">
        <v>120</v>
      </c>
      <c r="H25" s="14">
        <v>3700</v>
      </c>
      <c r="I25" s="18">
        <f>H25*G25</f>
        <v>444000</v>
      </c>
      <c r="J25" s="18"/>
      <c r="K25" s="18">
        <f>H25*G25</f>
        <v>444000</v>
      </c>
      <c r="N25" s="14">
        <v>18500</v>
      </c>
      <c r="O25" s="25">
        <f t="shared" si="0"/>
        <v>3700</v>
      </c>
    </row>
    <row r="26" spans="1:15" ht="30" customHeight="1" thickBot="1" x14ac:dyDescent="0.35">
      <c r="A26" s="40"/>
      <c r="B26" s="40"/>
      <c r="C26" s="40"/>
      <c r="D26" s="41"/>
      <c r="E26" s="44" t="s">
        <v>11</v>
      </c>
      <c r="F26" s="40"/>
      <c r="G26" s="40"/>
      <c r="H26" s="37">
        <v>0</v>
      </c>
      <c r="I26" s="28">
        <v>2220000</v>
      </c>
      <c r="J26" s="28"/>
      <c r="K26" s="28">
        <v>2220000</v>
      </c>
      <c r="N26" s="37"/>
      <c r="O26" s="25">
        <f t="shared" si="0"/>
        <v>0</v>
      </c>
    </row>
    <row r="27" spans="1:15" ht="30" customHeight="1" thickTop="1" x14ac:dyDescent="0.3">
      <c r="A27" s="10" t="s">
        <v>132</v>
      </c>
      <c r="B27" s="10" t="s">
        <v>133</v>
      </c>
      <c r="C27" s="10" t="s">
        <v>134</v>
      </c>
      <c r="D27" s="8" t="s">
        <v>137</v>
      </c>
      <c r="E27" s="34" t="s">
        <v>41</v>
      </c>
      <c r="F27" s="10"/>
      <c r="G27" s="10">
        <v>96</v>
      </c>
      <c r="H27" s="14">
        <v>3700</v>
      </c>
      <c r="I27" s="18">
        <f>H27*G27</f>
        <v>355200</v>
      </c>
      <c r="J27" s="18"/>
      <c r="K27" s="18">
        <f>H27*G27</f>
        <v>355200</v>
      </c>
      <c r="N27" s="14">
        <v>18500</v>
      </c>
      <c r="O27" s="25">
        <f t="shared" si="0"/>
        <v>3700</v>
      </c>
    </row>
    <row r="28" spans="1:15" ht="30" customHeight="1" thickBot="1" x14ac:dyDescent="0.35">
      <c r="A28" s="40"/>
      <c r="B28" s="40"/>
      <c r="C28" s="40"/>
      <c r="D28" s="41"/>
      <c r="E28" s="44" t="s">
        <v>11</v>
      </c>
      <c r="F28" s="40"/>
      <c r="G28" s="40"/>
      <c r="H28" s="37">
        <v>0</v>
      </c>
      <c r="I28" s="28">
        <f>I27</f>
        <v>355200</v>
      </c>
      <c r="J28" s="28"/>
      <c r="K28" s="28">
        <f>K27</f>
        <v>355200</v>
      </c>
      <c r="N28" s="37"/>
      <c r="O28" s="25">
        <f t="shared" si="0"/>
        <v>0</v>
      </c>
    </row>
    <row r="29" spans="1:15" ht="30" customHeight="1" thickTop="1" x14ac:dyDescent="0.3">
      <c r="A29" s="5" t="s">
        <v>125</v>
      </c>
      <c r="B29" s="5" t="s">
        <v>140</v>
      </c>
      <c r="C29" s="5" t="s">
        <v>141</v>
      </c>
      <c r="D29" s="6" t="s">
        <v>142</v>
      </c>
      <c r="E29" s="27" t="s">
        <v>105</v>
      </c>
      <c r="F29" s="10"/>
      <c r="G29" s="5">
        <v>144</v>
      </c>
      <c r="H29" s="7">
        <v>960</v>
      </c>
      <c r="I29" s="9">
        <f>H29*G29</f>
        <v>138240</v>
      </c>
      <c r="J29" s="9">
        <f t="shared" ref="J29:J31" si="4">I29*5%</f>
        <v>6912</v>
      </c>
      <c r="K29" s="13">
        <f t="shared" ref="K29:K31" si="5">I29+J29</f>
        <v>145152</v>
      </c>
      <c r="N29" s="7">
        <v>4800</v>
      </c>
      <c r="O29" s="25">
        <f t="shared" si="0"/>
        <v>960</v>
      </c>
    </row>
    <row r="30" spans="1:15" ht="30" customHeight="1" x14ac:dyDescent="0.3">
      <c r="A30" s="5"/>
      <c r="B30" s="5"/>
      <c r="C30" s="5"/>
      <c r="D30" s="6"/>
      <c r="E30" s="27" t="s">
        <v>139</v>
      </c>
      <c r="F30" s="10"/>
      <c r="G30" s="5">
        <v>144</v>
      </c>
      <c r="H30" s="7">
        <v>960</v>
      </c>
      <c r="I30" s="9">
        <f>H30*G30</f>
        <v>138240</v>
      </c>
      <c r="J30" s="9">
        <f t="shared" si="4"/>
        <v>6912</v>
      </c>
      <c r="K30" s="13">
        <f t="shared" si="5"/>
        <v>145152</v>
      </c>
      <c r="N30" s="7">
        <v>4800</v>
      </c>
      <c r="O30" s="25">
        <f t="shared" si="0"/>
        <v>960</v>
      </c>
    </row>
    <row r="31" spans="1:15" ht="30" customHeight="1" thickBot="1" x14ac:dyDescent="0.35">
      <c r="A31" s="40"/>
      <c r="B31" s="40"/>
      <c r="C31" s="40"/>
      <c r="D31" s="41"/>
      <c r="E31" s="44" t="s">
        <v>11</v>
      </c>
      <c r="F31" s="40"/>
      <c r="G31" s="40"/>
      <c r="H31" s="37">
        <v>0</v>
      </c>
      <c r="I31" s="32">
        <f>I29+I30</f>
        <v>276480</v>
      </c>
      <c r="J31" s="32">
        <f t="shared" si="4"/>
        <v>13824</v>
      </c>
      <c r="K31" s="28">
        <f t="shared" si="5"/>
        <v>290304</v>
      </c>
      <c r="N31" s="37"/>
      <c r="O31" s="25">
        <f t="shared" si="0"/>
        <v>0</v>
      </c>
    </row>
    <row r="32" spans="1:15" ht="30" customHeight="1" thickTop="1" x14ac:dyDescent="0.3">
      <c r="A32" s="5" t="s">
        <v>144</v>
      </c>
      <c r="B32" s="5" t="s">
        <v>140</v>
      </c>
      <c r="C32" s="5" t="s">
        <v>141</v>
      </c>
      <c r="D32" s="6" t="s">
        <v>145</v>
      </c>
      <c r="E32" s="30" t="s">
        <v>41</v>
      </c>
      <c r="F32" s="10"/>
      <c r="G32" s="5">
        <v>240</v>
      </c>
      <c r="H32" s="7">
        <v>3700</v>
      </c>
      <c r="I32" s="13">
        <f>H32*G32</f>
        <v>888000</v>
      </c>
      <c r="J32" s="13"/>
      <c r="K32" s="13">
        <f>H32*G32</f>
        <v>888000</v>
      </c>
      <c r="N32" s="7">
        <v>18500</v>
      </c>
      <c r="O32" s="25">
        <f t="shared" si="0"/>
        <v>3700</v>
      </c>
    </row>
    <row r="33" spans="1:15" ht="30" customHeight="1" thickBot="1" x14ac:dyDescent="0.35">
      <c r="A33" s="40"/>
      <c r="B33" s="40"/>
      <c r="C33" s="40"/>
      <c r="D33" s="41"/>
      <c r="E33" s="44" t="s">
        <v>11</v>
      </c>
      <c r="F33" s="40"/>
      <c r="G33" s="40"/>
      <c r="H33" s="37">
        <v>0</v>
      </c>
      <c r="I33" s="28">
        <f>I32</f>
        <v>888000</v>
      </c>
      <c r="J33" s="28"/>
      <c r="K33" s="28">
        <f>K32</f>
        <v>888000</v>
      </c>
      <c r="N33" s="37"/>
      <c r="O33" s="25">
        <f t="shared" si="0"/>
        <v>0</v>
      </c>
    </row>
    <row r="34" spans="1:15" ht="30" customHeight="1" thickTop="1" x14ac:dyDescent="0.3">
      <c r="A34" s="5" t="s">
        <v>144</v>
      </c>
      <c r="B34" s="5" t="s">
        <v>140</v>
      </c>
      <c r="C34" s="5" t="s">
        <v>141</v>
      </c>
      <c r="D34" s="6" t="s">
        <v>146</v>
      </c>
      <c r="E34" s="34" t="s">
        <v>104</v>
      </c>
      <c r="F34" s="10"/>
      <c r="G34" s="5">
        <v>20</v>
      </c>
      <c r="H34" s="7">
        <v>2760</v>
      </c>
      <c r="I34" s="29">
        <f>H34*G34</f>
        <v>55200</v>
      </c>
      <c r="J34" s="29">
        <f t="shared" ref="J34:J36" si="6">I34*5%</f>
        <v>2760</v>
      </c>
      <c r="K34" s="18">
        <f>J34+I34</f>
        <v>57960</v>
      </c>
      <c r="N34" s="7">
        <v>13800</v>
      </c>
      <c r="O34" s="25">
        <f t="shared" si="0"/>
        <v>2760</v>
      </c>
    </row>
    <row r="35" spans="1:15" ht="30" customHeight="1" x14ac:dyDescent="0.3">
      <c r="A35" s="5"/>
      <c r="B35" s="5"/>
      <c r="C35" s="5"/>
      <c r="D35" s="6"/>
      <c r="E35" s="27" t="s">
        <v>94</v>
      </c>
      <c r="F35" s="5"/>
      <c r="G35" s="5">
        <v>25</v>
      </c>
      <c r="H35" s="7">
        <v>1320</v>
      </c>
      <c r="I35" s="29">
        <f>H35*G35</f>
        <v>33000</v>
      </c>
      <c r="J35" s="29">
        <f t="shared" si="6"/>
        <v>1650</v>
      </c>
      <c r="K35" s="18">
        <f t="shared" ref="K35:K39" si="7">I35+J35</f>
        <v>34650</v>
      </c>
      <c r="N35" s="7">
        <v>6600</v>
      </c>
      <c r="O35" s="25">
        <f t="shared" si="0"/>
        <v>1320</v>
      </c>
    </row>
    <row r="36" spans="1:15" ht="30" customHeight="1" x14ac:dyDescent="0.3">
      <c r="A36" s="5"/>
      <c r="B36" s="5"/>
      <c r="C36" s="5"/>
      <c r="D36" s="6"/>
      <c r="E36" s="27" t="s">
        <v>108</v>
      </c>
      <c r="F36" s="5"/>
      <c r="G36" s="5">
        <v>192</v>
      </c>
      <c r="H36" s="7">
        <v>2160</v>
      </c>
      <c r="I36" s="29">
        <f>H36*G36</f>
        <v>414720</v>
      </c>
      <c r="J36" s="29">
        <f t="shared" si="6"/>
        <v>20736</v>
      </c>
      <c r="K36" s="18">
        <f t="shared" si="7"/>
        <v>435456</v>
      </c>
      <c r="N36" s="7">
        <v>10800</v>
      </c>
      <c r="O36" s="25">
        <f t="shared" si="0"/>
        <v>2160</v>
      </c>
    </row>
    <row r="37" spans="1:15" ht="30" customHeight="1" thickBot="1" x14ac:dyDescent="0.35">
      <c r="A37" s="40"/>
      <c r="B37" s="40"/>
      <c r="C37" s="40"/>
      <c r="D37" s="41"/>
      <c r="E37" s="44" t="s">
        <v>11</v>
      </c>
      <c r="F37" s="40"/>
      <c r="G37" s="40"/>
      <c r="H37" s="37">
        <v>0</v>
      </c>
      <c r="I37" s="28">
        <f>I34+I35+I36</f>
        <v>502920</v>
      </c>
      <c r="J37" s="28">
        <f>J34+J35+J36</f>
        <v>25146</v>
      </c>
      <c r="K37" s="28">
        <f>K34+K35+K36</f>
        <v>528066</v>
      </c>
      <c r="N37" s="37"/>
      <c r="O37" s="25">
        <f t="shared" si="0"/>
        <v>0</v>
      </c>
    </row>
    <row r="38" spans="1:15" ht="30" customHeight="1" thickTop="1" x14ac:dyDescent="0.3">
      <c r="A38" s="5" t="s">
        <v>144</v>
      </c>
      <c r="B38" s="5" t="s">
        <v>140</v>
      </c>
      <c r="C38" s="5" t="s">
        <v>141</v>
      </c>
      <c r="D38" s="6" t="s">
        <v>148</v>
      </c>
      <c r="E38" s="30" t="s">
        <v>29</v>
      </c>
      <c r="F38" s="5"/>
      <c r="G38" s="5">
        <v>10</v>
      </c>
      <c r="H38" s="14">
        <v>3400</v>
      </c>
      <c r="I38" s="18">
        <f>H38*G38</f>
        <v>34000</v>
      </c>
      <c r="J38" s="18"/>
      <c r="K38" s="18">
        <f>J38+I38</f>
        <v>34000</v>
      </c>
      <c r="N38" s="14">
        <v>17000</v>
      </c>
      <c r="O38" s="25">
        <f t="shared" si="0"/>
        <v>3400</v>
      </c>
    </row>
    <row r="39" spans="1:15" ht="30" customHeight="1" x14ac:dyDescent="0.3">
      <c r="A39" s="5"/>
      <c r="B39" s="5"/>
      <c r="C39" s="5"/>
      <c r="D39" s="6"/>
      <c r="E39" s="27" t="s">
        <v>124</v>
      </c>
      <c r="F39" s="5"/>
      <c r="G39" s="10">
        <v>5</v>
      </c>
      <c r="H39" s="14">
        <v>30720</v>
      </c>
      <c r="I39" s="29">
        <f>H39*G39</f>
        <v>153600</v>
      </c>
      <c r="J39" s="29"/>
      <c r="K39" s="18">
        <f t="shared" si="7"/>
        <v>153600</v>
      </c>
      <c r="N39" s="14">
        <v>153600</v>
      </c>
      <c r="O39" s="25">
        <f t="shared" si="0"/>
        <v>30720</v>
      </c>
    </row>
    <row r="40" spans="1:15" ht="30" customHeight="1" x14ac:dyDescent="0.3">
      <c r="A40" s="42"/>
      <c r="B40" s="42"/>
      <c r="C40" s="42"/>
      <c r="D40" s="43"/>
      <c r="E40" s="47" t="s">
        <v>11</v>
      </c>
      <c r="F40" s="42"/>
      <c r="G40" s="42"/>
      <c r="H40" s="12"/>
      <c r="I40" s="39">
        <f>I38+I39</f>
        <v>187600</v>
      </c>
      <c r="J40" s="39"/>
      <c r="K40" s="39">
        <f>K38+K39</f>
        <v>187600</v>
      </c>
      <c r="N40" s="12"/>
      <c r="O40" s="25">
        <f t="shared" ref="O40:O45" si="8">N40*N$43</f>
        <v>0</v>
      </c>
    </row>
    <row r="41" spans="1:15" ht="30" customHeight="1" x14ac:dyDescent="0.3">
      <c r="H41" s="21"/>
      <c r="I41" s="20"/>
      <c r="J41" s="20"/>
      <c r="K41" s="20"/>
      <c r="O41" s="25">
        <f t="shared" si="8"/>
        <v>0</v>
      </c>
    </row>
    <row r="42" spans="1:15" ht="30" customHeight="1" x14ac:dyDescent="0.3">
      <c r="H42" s="21"/>
      <c r="I42" s="20"/>
      <c r="J42" s="20"/>
      <c r="K42" s="20"/>
      <c r="O42" s="25">
        <f t="shared" si="8"/>
        <v>0</v>
      </c>
    </row>
    <row r="43" spans="1:15" ht="30" customHeight="1" x14ac:dyDescent="0.3">
      <c r="H43" s="21"/>
      <c r="I43" s="20"/>
      <c r="J43" s="20"/>
      <c r="K43" s="20"/>
      <c r="N43" s="4">
        <v>0.2</v>
      </c>
      <c r="O43" s="25">
        <f t="shared" si="8"/>
        <v>4.0000000000000008E-2</v>
      </c>
    </row>
    <row r="44" spans="1:15" ht="30" customHeight="1" x14ac:dyDescent="0.3">
      <c r="H44" s="21"/>
      <c r="I44" s="20"/>
      <c r="J44" s="20"/>
      <c r="K44" s="20"/>
      <c r="O44" s="25">
        <f t="shared" si="8"/>
        <v>0</v>
      </c>
    </row>
    <row r="45" spans="1:15" ht="30" customHeight="1" x14ac:dyDescent="0.3">
      <c r="H45" s="21"/>
      <c r="I45" s="20"/>
      <c r="J45" s="20"/>
      <c r="K45" s="20"/>
      <c r="O45" s="25">
        <f t="shared" si="8"/>
        <v>0</v>
      </c>
    </row>
    <row r="46" spans="1:15" ht="30" customHeight="1" x14ac:dyDescent="0.3">
      <c r="H46" s="21"/>
      <c r="I46" s="20"/>
      <c r="J46" s="20"/>
      <c r="K46" s="20"/>
    </row>
    <row r="47" spans="1:15" ht="30" customHeight="1" x14ac:dyDescent="0.3">
      <c r="H47" s="21"/>
      <c r="I47" s="20"/>
      <c r="J47" s="20"/>
      <c r="K47" s="20"/>
    </row>
    <row r="48" spans="1:15" ht="30" customHeight="1" x14ac:dyDescent="0.3">
      <c r="H48" s="21"/>
      <c r="I48" s="20"/>
      <c r="J48" s="20"/>
      <c r="K48" s="20"/>
    </row>
    <row r="49" spans="8:11" ht="30" customHeight="1" x14ac:dyDescent="0.3">
      <c r="H49" s="21"/>
      <c r="I49" s="20"/>
      <c r="J49" s="20"/>
      <c r="K49" s="20"/>
    </row>
    <row r="50" spans="8:11" ht="30" customHeight="1" x14ac:dyDescent="0.3">
      <c r="H50" s="21"/>
      <c r="I50" s="20"/>
      <c r="J50" s="20"/>
      <c r="K50" s="20"/>
    </row>
    <row r="51" spans="8:11" ht="30" customHeight="1" x14ac:dyDescent="0.3">
      <c r="H51" s="21"/>
      <c r="I51" s="20"/>
      <c r="J51" s="20"/>
      <c r="K51" s="20"/>
    </row>
    <row r="52" spans="8:11" ht="30" customHeight="1" x14ac:dyDescent="0.3">
      <c r="H52" s="21"/>
      <c r="I52" s="20"/>
      <c r="J52" s="20"/>
      <c r="K52" s="20"/>
    </row>
    <row r="53" spans="8:11" ht="30" customHeight="1" x14ac:dyDescent="0.3">
      <c r="H53" s="21"/>
      <c r="I53" s="20"/>
      <c r="J53" s="20"/>
      <c r="K53" s="20"/>
    </row>
    <row r="54" spans="8:11" ht="30" customHeight="1" x14ac:dyDescent="0.3">
      <c r="H54" s="21"/>
      <c r="I54" s="20"/>
      <c r="J54" s="20"/>
      <c r="K54" s="20"/>
    </row>
    <row r="55" spans="8:11" ht="30" customHeight="1" x14ac:dyDescent="0.3">
      <c r="H55" s="21"/>
      <c r="I55" s="20"/>
      <c r="J55" s="20"/>
      <c r="K55" s="20"/>
    </row>
    <row r="56" spans="8:11" ht="30" customHeight="1" x14ac:dyDescent="0.3">
      <c r="H56" s="21"/>
      <c r="I56" s="20"/>
      <c r="J56" s="20"/>
      <c r="K56" s="20"/>
    </row>
    <row r="57" spans="8:11" ht="30" customHeight="1" x14ac:dyDescent="0.3">
      <c r="H57" s="21"/>
      <c r="I57" s="20"/>
      <c r="J57" s="20"/>
      <c r="K57" s="20"/>
    </row>
    <row r="58" spans="8:11" ht="30" customHeight="1" x14ac:dyDescent="0.3">
      <c r="H58" s="21"/>
      <c r="I58" s="20"/>
      <c r="J58" s="20"/>
      <c r="K58" s="20"/>
    </row>
    <row r="59" spans="8:11" ht="30" customHeight="1" x14ac:dyDescent="0.3">
      <c r="H59" s="21"/>
      <c r="I59" s="20"/>
      <c r="J59" s="20"/>
      <c r="K59" s="20"/>
    </row>
    <row r="60" spans="8:11" ht="30" customHeight="1" x14ac:dyDescent="0.3">
      <c r="H60" s="21"/>
      <c r="I60" s="20"/>
      <c r="J60" s="20"/>
      <c r="K60" s="20"/>
    </row>
    <row r="61" spans="8:11" ht="30" customHeight="1" x14ac:dyDescent="0.3">
      <c r="H61" s="21"/>
      <c r="I61" s="20"/>
      <c r="J61" s="20"/>
      <c r="K61" s="20"/>
    </row>
    <row r="62" spans="8:11" ht="30" customHeight="1" x14ac:dyDescent="0.3">
      <c r="H62" s="21"/>
      <c r="I62" s="20"/>
      <c r="J62" s="20"/>
      <c r="K62" s="20"/>
    </row>
    <row r="63" spans="8:11" ht="30" customHeight="1" x14ac:dyDescent="0.3">
      <c r="H63" s="21"/>
      <c r="I63" s="20"/>
      <c r="J63" s="20"/>
      <c r="K63" s="20"/>
    </row>
    <row r="64" spans="8:11" ht="30" customHeight="1" x14ac:dyDescent="0.3">
      <c r="H64" s="21"/>
      <c r="I64" s="20"/>
      <c r="J64" s="20"/>
      <c r="K64" s="20"/>
    </row>
    <row r="65" spans="8:11" ht="30" customHeight="1" x14ac:dyDescent="0.3">
      <c r="H65" s="21"/>
      <c r="I65" s="20"/>
      <c r="J65" s="20"/>
      <c r="K65" s="20"/>
    </row>
    <row r="66" spans="8:11" ht="30" customHeight="1" x14ac:dyDescent="0.3">
      <c r="H66" s="21"/>
      <c r="I66" s="20"/>
      <c r="J66" s="20"/>
      <c r="K66" s="20"/>
    </row>
    <row r="67" spans="8:11" ht="30" customHeight="1" x14ac:dyDescent="0.3">
      <c r="H67" s="21"/>
      <c r="I67" s="20"/>
      <c r="J67" s="20"/>
      <c r="K67" s="20"/>
    </row>
    <row r="68" spans="8:11" ht="30" customHeight="1" x14ac:dyDescent="0.3">
      <c r="H68" s="21"/>
      <c r="I68" s="20"/>
      <c r="J68" s="20"/>
      <c r="K68" s="20"/>
    </row>
    <row r="69" spans="8:11" ht="30" customHeight="1" x14ac:dyDescent="0.3">
      <c r="H69" s="21"/>
      <c r="I69" s="20"/>
      <c r="J69" s="20"/>
      <c r="K69" s="20"/>
    </row>
    <row r="70" spans="8:11" ht="30" customHeight="1" x14ac:dyDescent="0.3">
      <c r="H70" s="21"/>
      <c r="I70" s="20"/>
      <c r="J70" s="20"/>
      <c r="K70" s="20"/>
    </row>
    <row r="71" spans="8:11" ht="30" customHeight="1" x14ac:dyDescent="0.3">
      <c r="H71" s="21"/>
      <c r="I71" s="20"/>
      <c r="J71" s="20"/>
      <c r="K71" s="20"/>
    </row>
    <row r="72" spans="8:11" ht="30" customHeight="1" x14ac:dyDescent="0.3">
      <c r="H72" s="21"/>
      <c r="I72" s="20"/>
      <c r="J72" s="20"/>
      <c r="K72" s="20"/>
    </row>
    <row r="73" spans="8:11" ht="30" customHeight="1" x14ac:dyDescent="0.3">
      <c r="H73" s="21"/>
      <c r="I73" s="20"/>
      <c r="J73" s="20"/>
      <c r="K73" s="20"/>
    </row>
    <row r="74" spans="8:11" ht="30" customHeight="1" x14ac:dyDescent="0.3">
      <c r="H74" s="21"/>
      <c r="I74" s="20"/>
      <c r="J74" s="20"/>
      <c r="K74" s="20"/>
    </row>
    <row r="75" spans="8:11" ht="30" customHeight="1" x14ac:dyDescent="0.3">
      <c r="H75" s="21"/>
      <c r="I75" s="20"/>
      <c r="J75" s="20"/>
      <c r="K75" s="20"/>
    </row>
    <row r="76" spans="8:11" ht="30" customHeight="1" x14ac:dyDescent="0.3">
      <c r="H76" s="21"/>
      <c r="I76" s="20"/>
      <c r="J76" s="20"/>
      <c r="K76" s="20"/>
    </row>
    <row r="77" spans="8:11" ht="30" customHeight="1" x14ac:dyDescent="0.3">
      <c r="H77" s="21"/>
      <c r="I77" s="20"/>
      <c r="J77" s="20"/>
      <c r="K77" s="20"/>
    </row>
    <row r="78" spans="8:11" ht="30" customHeight="1" x14ac:dyDescent="0.3">
      <c r="H78" s="21"/>
      <c r="I78" s="20"/>
      <c r="J78" s="20"/>
      <c r="K78" s="20"/>
    </row>
    <row r="79" spans="8:11" ht="30" customHeight="1" x14ac:dyDescent="0.3">
      <c r="H79" s="21"/>
      <c r="I79" s="20"/>
      <c r="J79" s="20"/>
      <c r="K79" s="20"/>
    </row>
    <row r="80" spans="8:11" ht="30" customHeight="1" x14ac:dyDescent="0.3">
      <c r="H80" s="21"/>
      <c r="I80" s="20"/>
      <c r="J80" s="20"/>
      <c r="K80" s="20"/>
    </row>
    <row r="81" spans="8:11" ht="30" customHeight="1" x14ac:dyDescent="0.3">
      <c r="H81" s="21"/>
      <c r="I81" s="20"/>
      <c r="J81" s="20"/>
      <c r="K81" s="20"/>
    </row>
    <row r="82" spans="8:11" ht="30" customHeight="1" x14ac:dyDescent="0.3">
      <c r="H82" s="21"/>
      <c r="I82" s="20"/>
      <c r="J82" s="20"/>
      <c r="K82" s="20"/>
    </row>
    <row r="83" spans="8:11" ht="30" customHeight="1" x14ac:dyDescent="0.3">
      <c r="H83" s="21"/>
      <c r="I83" s="20"/>
      <c r="J83" s="20"/>
      <c r="K83" s="20"/>
    </row>
    <row r="84" spans="8:11" ht="30" customHeight="1" x14ac:dyDescent="0.3">
      <c r="H84" s="21"/>
      <c r="I84" s="20"/>
      <c r="J84" s="20"/>
      <c r="K84" s="20"/>
    </row>
    <row r="85" spans="8:11" ht="30" customHeight="1" x14ac:dyDescent="0.3">
      <c r="H85" s="21"/>
      <c r="I85" s="20"/>
      <c r="J85" s="20"/>
      <c r="K85" s="20"/>
    </row>
    <row r="86" spans="8:11" ht="30" customHeight="1" x14ac:dyDescent="0.3">
      <c r="H86" s="21"/>
      <c r="I86" s="20"/>
      <c r="J86" s="20"/>
      <c r="K86" s="20"/>
    </row>
    <row r="87" spans="8:11" ht="30" customHeight="1" x14ac:dyDescent="0.3">
      <c r="H87" s="21"/>
      <c r="I87" s="20"/>
      <c r="J87" s="20"/>
      <c r="K87" s="20"/>
    </row>
    <row r="88" spans="8:11" ht="30" customHeight="1" x14ac:dyDescent="0.3">
      <c r="H88" s="21"/>
      <c r="I88" s="20"/>
      <c r="J88" s="20"/>
      <c r="K88" s="20"/>
    </row>
    <row r="89" spans="8:11" ht="30" customHeight="1" x14ac:dyDescent="0.3">
      <c r="H89" s="21"/>
      <c r="I89" s="20"/>
      <c r="J89" s="20"/>
      <c r="K89" s="20"/>
    </row>
    <row r="90" spans="8:11" ht="30" customHeight="1" x14ac:dyDescent="0.3">
      <c r="H90" s="21"/>
      <c r="I90" s="20"/>
      <c r="J90" s="20"/>
      <c r="K90" s="20"/>
    </row>
    <row r="91" spans="8:11" ht="30" customHeight="1" x14ac:dyDescent="0.3">
      <c r="H91" s="21"/>
      <c r="I91" s="20"/>
      <c r="J91" s="20"/>
      <c r="K91" s="20"/>
    </row>
    <row r="92" spans="8:11" ht="30" customHeight="1" x14ac:dyDescent="0.3">
      <c r="H92" s="21"/>
      <c r="I92" s="20"/>
      <c r="J92" s="20"/>
      <c r="K92" s="20"/>
    </row>
    <row r="93" spans="8:11" ht="30" customHeight="1" x14ac:dyDescent="0.3">
      <c r="H93" s="21"/>
      <c r="I93" s="20"/>
      <c r="J93" s="20"/>
      <c r="K93" s="20"/>
    </row>
    <row r="94" spans="8:11" ht="30" customHeight="1" x14ac:dyDescent="0.3">
      <c r="H94" s="21"/>
      <c r="I94" s="20"/>
      <c r="J94" s="20"/>
      <c r="K94" s="20"/>
    </row>
    <row r="95" spans="8:11" ht="30" customHeight="1" x14ac:dyDescent="0.3">
      <c r="H95" s="21"/>
      <c r="I95" s="20"/>
      <c r="J95" s="20"/>
      <c r="K95" s="20"/>
    </row>
    <row r="96" spans="8:11" ht="30" customHeight="1" x14ac:dyDescent="0.3">
      <c r="H96" s="21"/>
      <c r="I96" s="20"/>
      <c r="J96" s="20"/>
      <c r="K96" s="20"/>
    </row>
    <row r="97" spans="8:11" ht="30" customHeight="1" x14ac:dyDescent="0.3">
      <c r="H97" s="21"/>
      <c r="I97" s="20"/>
      <c r="J97" s="20"/>
      <c r="K97" s="20"/>
    </row>
    <row r="98" spans="8:11" ht="30" customHeight="1" x14ac:dyDescent="0.3">
      <c r="H98" s="21"/>
      <c r="I98" s="20"/>
      <c r="J98" s="20"/>
      <c r="K98" s="20"/>
    </row>
    <row r="99" spans="8:11" ht="30" customHeight="1" x14ac:dyDescent="0.3">
      <c r="H99" s="21"/>
      <c r="I99" s="20"/>
      <c r="J99" s="20"/>
      <c r="K99" s="20"/>
    </row>
    <row r="100" spans="8:11" ht="30" customHeight="1" x14ac:dyDescent="0.3">
      <c r="H100" s="21"/>
      <c r="I100" s="20"/>
      <c r="J100" s="20"/>
      <c r="K100" s="20"/>
    </row>
    <row r="101" spans="8:11" ht="30" customHeight="1" x14ac:dyDescent="0.3">
      <c r="H101" s="21"/>
      <c r="I101" s="20"/>
      <c r="J101" s="20"/>
      <c r="K101" s="20"/>
    </row>
    <row r="102" spans="8:11" ht="30" customHeight="1" x14ac:dyDescent="0.3">
      <c r="H102" s="21"/>
      <c r="I102" s="20"/>
      <c r="J102" s="20"/>
      <c r="K102" s="20"/>
    </row>
    <row r="103" spans="8:11" ht="30" customHeight="1" x14ac:dyDescent="0.3">
      <c r="H103" s="21"/>
      <c r="I103" s="20"/>
      <c r="J103" s="20"/>
      <c r="K103" s="20"/>
    </row>
    <row r="104" spans="8:11" ht="30" customHeight="1" x14ac:dyDescent="0.3">
      <c r="H104" s="21"/>
      <c r="I104" s="20"/>
      <c r="J104" s="20"/>
      <c r="K104" s="20"/>
    </row>
    <row r="105" spans="8:11" ht="30" customHeight="1" x14ac:dyDescent="0.3">
      <c r="H105" s="21"/>
      <c r="I105" s="20"/>
      <c r="J105" s="20"/>
      <c r="K105" s="20"/>
    </row>
    <row r="106" spans="8:11" ht="30" customHeight="1" x14ac:dyDescent="0.3">
      <c r="H106" s="21"/>
      <c r="I106" s="20"/>
      <c r="J106" s="20"/>
      <c r="K106" s="20"/>
    </row>
    <row r="107" spans="8:11" ht="30" customHeight="1" x14ac:dyDescent="0.3">
      <c r="H107" s="21"/>
      <c r="I107" s="20"/>
      <c r="J107" s="20"/>
      <c r="K107" s="20"/>
    </row>
    <row r="108" spans="8:11" ht="30" customHeight="1" x14ac:dyDescent="0.3">
      <c r="H108" s="21"/>
      <c r="I108" s="20"/>
      <c r="J108" s="20"/>
      <c r="K108" s="20"/>
    </row>
    <row r="109" spans="8:11" ht="30" customHeight="1" x14ac:dyDescent="0.3">
      <c r="H109" s="21"/>
      <c r="I109" s="20"/>
      <c r="J109" s="20"/>
      <c r="K109" s="20"/>
    </row>
    <row r="110" spans="8:11" ht="30" customHeight="1" x14ac:dyDescent="0.3">
      <c r="H110" s="21"/>
      <c r="I110" s="20"/>
      <c r="J110" s="20"/>
      <c r="K110" s="20"/>
    </row>
    <row r="111" spans="8:11" ht="30" customHeight="1" x14ac:dyDescent="0.3">
      <c r="H111" s="21"/>
      <c r="I111" s="20"/>
      <c r="J111" s="20"/>
      <c r="K111" s="20"/>
    </row>
    <row r="112" spans="8:11" ht="30" customHeight="1" x14ac:dyDescent="0.3">
      <c r="H112" s="21"/>
      <c r="I112" s="20"/>
      <c r="J112" s="20"/>
      <c r="K112" s="20"/>
    </row>
    <row r="113" spans="8:11" ht="30" customHeight="1" x14ac:dyDescent="0.3">
      <c r="H113" s="21"/>
      <c r="I113" s="20"/>
      <c r="J113" s="20"/>
      <c r="K113" s="20"/>
    </row>
    <row r="114" spans="8:11" ht="30" customHeight="1" x14ac:dyDescent="0.3">
      <c r="H114" s="21"/>
      <c r="I114" s="20"/>
      <c r="J114" s="20"/>
      <c r="K114" s="20"/>
    </row>
    <row r="115" spans="8:11" ht="30" customHeight="1" x14ac:dyDescent="0.3">
      <c r="H115" s="21"/>
      <c r="I115" s="20"/>
      <c r="J115" s="20"/>
      <c r="K115" s="20"/>
    </row>
    <row r="116" spans="8:11" ht="30" customHeight="1" x14ac:dyDescent="0.3">
      <c r="H116" s="21"/>
      <c r="I116" s="20"/>
      <c r="J116" s="20"/>
      <c r="K116" s="20"/>
    </row>
    <row r="117" spans="8:11" ht="30" customHeight="1" x14ac:dyDescent="0.3">
      <c r="H117" s="21"/>
      <c r="I117" s="20"/>
      <c r="J117" s="20"/>
      <c r="K117" s="20"/>
    </row>
    <row r="118" spans="8:11" ht="30" customHeight="1" x14ac:dyDescent="0.3">
      <c r="H118" s="21"/>
      <c r="I118" s="20"/>
      <c r="J118" s="20"/>
      <c r="K118" s="20"/>
    </row>
    <row r="119" spans="8:11" ht="30" customHeight="1" x14ac:dyDescent="0.3">
      <c r="H119" s="21"/>
      <c r="I119" s="20"/>
      <c r="J119" s="20"/>
      <c r="K119" s="20"/>
    </row>
    <row r="120" spans="8:11" ht="30" customHeight="1" x14ac:dyDescent="0.3">
      <c r="H120" s="21"/>
      <c r="I120" s="20"/>
      <c r="J120" s="20"/>
      <c r="K120" s="20"/>
    </row>
    <row r="121" spans="8:11" ht="30" customHeight="1" x14ac:dyDescent="0.3">
      <c r="H121" s="21"/>
      <c r="I121" s="20"/>
      <c r="J121" s="20"/>
      <c r="K121" s="20"/>
    </row>
    <row r="122" spans="8:11" ht="30" customHeight="1" x14ac:dyDescent="0.3">
      <c r="H122" s="21"/>
      <c r="I122" s="20"/>
      <c r="J122" s="20"/>
      <c r="K122" s="20"/>
    </row>
    <row r="123" spans="8:11" ht="30" customHeight="1" x14ac:dyDescent="0.3">
      <c r="H123" s="21"/>
      <c r="I123" s="20"/>
      <c r="J123" s="20"/>
      <c r="K123" s="20"/>
    </row>
    <row r="124" spans="8:11" ht="30" customHeight="1" x14ac:dyDescent="0.3">
      <c r="H124" s="21"/>
      <c r="I124" s="20"/>
      <c r="J124" s="20"/>
      <c r="K124" s="20"/>
    </row>
    <row r="125" spans="8:11" ht="30" customHeight="1" x14ac:dyDescent="0.3">
      <c r="H125" s="21"/>
      <c r="I125" s="20"/>
      <c r="J125" s="20"/>
      <c r="K125" s="20"/>
    </row>
    <row r="126" spans="8:11" ht="30" customHeight="1" x14ac:dyDescent="0.3">
      <c r="H126" s="21"/>
      <c r="I126" s="20"/>
      <c r="J126" s="20"/>
      <c r="K126" s="20"/>
    </row>
    <row r="127" spans="8:11" ht="30" customHeight="1" x14ac:dyDescent="0.3">
      <c r="H127" s="21"/>
      <c r="I127" s="20"/>
      <c r="J127" s="20"/>
      <c r="K127" s="20"/>
    </row>
    <row r="128" spans="8:11" ht="30" customHeight="1" x14ac:dyDescent="0.3">
      <c r="H128" s="21"/>
      <c r="I128" s="20"/>
      <c r="J128" s="20"/>
      <c r="K128" s="20"/>
    </row>
    <row r="129" spans="8:11" ht="30" customHeight="1" x14ac:dyDescent="0.3">
      <c r="H129" s="21"/>
      <c r="I129" s="20"/>
      <c r="J129" s="20"/>
      <c r="K129" s="20"/>
    </row>
    <row r="130" spans="8:11" ht="30" customHeight="1" x14ac:dyDescent="0.3">
      <c r="H130" s="21"/>
      <c r="I130" s="20"/>
      <c r="J130" s="20"/>
      <c r="K130" s="20"/>
    </row>
    <row r="131" spans="8:11" ht="30" customHeight="1" x14ac:dyDescent="0.3">
      <c r="H131" s="21"/>
      <c r="I131" s="20"/>
      <c r="J131" s="20"/>
      <c r="K131" s="20"/>
    </row>
    <row r="132" spans="8:11" ht="30" customHeight="1" x14ac:dyDescent="0.3">
      <c r="H132" s="21"/>
      <c r="I132" s="20"/>
      <c r="J132" s="20"/>
      <c r="K132" s="20"/>
    </row>
    <row r="133" spans="8:11" ht="30" customHeight="1" x14ac:dyDescent="0.3">
      <c r="H133" s="21"/>
      <c r="I133" s="20"/>
      <c r="J133" s="20"/>
      <c r="K133" s="20"/>
    </row>
    <row r="134" spans="8:11" ht="30" customHeight="1" x14ac:dyDescent="0.3">
      <c r="H134" s="21"/>
      <c r="I134" s="20"/>
      <c r="J134" s="20"/>
      <c r="K134" s="20"/>
    </row>
    <row r="135" spans="8:11" ht="30" customHeight="1" x14ac:dyDescent="0.3">
      <c r="H135" s="21"/>
      <c r="I135" s="20"/>
      <c r="J135" s="20"/>
      <c r="K135" s="20"/>
    </row>
    <row r="136" spans="8:11" ht="30" customHeight="1" x14ac:dyDescent="0.3">
      <c r="H136" s="21"/>
      <c r="I136" s="20"/>
      <c r="J136" s="20"/>
      <c r="K136" s="20"/>
    </row>
    <row r="137" spans="8:11" ht="30" customHeight="1" x14ac:dyDescent="0.3">
      <c r="H137" s="21"/>
      <c r="I137" s="20"/>
      <c r="J137" s="20"/>
      <c r="K137" s="20"/>
    </row>
    <row r="138" spans="8:11" ht="30" customHeight="1" x14ac:dyDescent="0.3">
      <c r="H138" s="21"/>
      <c r="I138" s="20"/>
      <c r="J138" s="20"/>
      <c r="K138" s="20"/>
    </row>
    <row r="139" spans="8:11" ht="30" customHeight="1" x14ac:dyDescent="0.3">
      <c r="H139" s="21"/>
      <c r="I139" s="20"/>
      <c r="J139" s="20"/>
      <c r="K139" s="20"/>
    </row>
    <row r="140" spans="8:11" ht="30" customHeight="1" x14ac:dyDescent="0.3">
      <c r="H140" s="21"/>
      <c r="I140" s="20"/>
      <c r="J140" s="20"/>
      <c r="K140" s="20"/>
    </row>
    <row r="141" spans="8:11" ht="30" customHeight="1" x14ac:dyDescent="0.3">
      <c r="H141" s="21"/>
      <c r="I141" s="20"/>
      <c r="J141" s="20"/>
      <c r="K141" s="20"/>
    </row>
    <row r="142" spans="8:11" ht="30" customHeight="1" x14ac:dyDescent="0.3">
      <c r="H142" s="21"/>
      <c r="I142" s="20"/>
      <c r="J142" s="20"/>
      <c r="K142" s="20"/>
    </row>
    <row r="143" spans="8:11" ht="30" customHeight="1" x14ac:dyDescent="0.3">
      <c r="H143" s="21"/>
      <c r="I143" s="20"/>
      <c r="J143" s="20"/>
      <c r="K143" s="20"/>
    </row>
    <row r="144" spans="8:11" ht="30" customHeight="1" x14ac:dyDescent="0.3">
      <c r="H144" s="21"/>
      <c r="I144" s="20"/>
      <c r="J144" s="20"/>
      <c r="K144" s="20"/>
    </row>
    <row r="145" spans="8:11" ht="30" customHeight="1" x14ac:dyDescent="0.3">
      <c r="H145" s="21"/>
      <c r="I145" s="20"/>
      <c r="J145" s="20"/>
      <c r="K145" s="20"/>
    </row>
    <row r="146" spans="8:11" ht="30" customHeight="1" x14ac:dyDescent="0.3">
      <c r="H146" s="21"/>
      <c r="I146" s="20"/>
      <c r="J146" s="20"/>
      <c r="K146" s="20"/>
    </row>
    <row r="147" spans="8:11" ht="30" customHeight="1" x14ac:dyDescent="0.3">
      <c r="H147" s="21"/>
      <c r="I147" s="20"/>
      <c r="J147" s="20"/>
      <c r="K147" s="20"/>
    </row>
    <row r="148" spans="8:11" ht="30" customHeight="1" x14ac:dyDescent="0.3">
      <c r="H148" s="21"/>
      <c r="I148" s="20"/>
      <c r="J148" s="20"/>
      <c r="K148" s="20"/>
    </row>
    <row r="149" spans="8:11" ht="30" customHeight="1" x14ac:dyDescent="0.3">
      <c r="H149" s="21"/>
      <c r="I149" s="20"/>
      <c r="J149" s="20"/>
      <c r="K149" s="20"/>
    </row>
    <row r="150" spans="8:11" ht="30" customHeight="1" x14ac:dyDescent="0.3">
      <c r="H150" s="21"/>
      <c r="I150" s="20"/>
      <c r="J150" s="20"/>
      <c r="K150" s="20"/>
    </row>
    <row r="151" spans="8:11" ht="30" customHeight="1" x14ac:dyDescent="0.3">
      <c r="H151" s="21"/>
      <c r="I151" s="20"/>
      <c r="J151" s="20"/>
      <c r="K151" s="20"/>
    </row>
    <row r="152" spans="8:11" ht="30" customHeight="1" x14ac:dyDescent="0.3">
      <c r="H152" s="21"/>
      <c r="I152" s="20"/>
      <c r="J152" s="20"/>
      <c r="K152" s="20"/>
    </row>
    <row r="153" spans="8:11" ht="30" customHeight="1" x14ac:dyDescent="0.3">
      <c r="H153" s="21"/>
      <c r="I153" s="20"/>
      <c r="J153" s="20"/>
      <c r="K153" s="20"/>
    </row>
    <row r="154" spans="8:11" ht="30" customHeight="1" x14ac:dyDescent="0.3">
      <c r="H154" s="21"/>
      <c r="I154" s="20"/>
      <c r="J154" s="20"/>
      <c r="K154" s="20"/>
    </row>
    <row r="155" spans="8:11" ht="30" customHeight="1" x14ac:dyDescent="0.3">
      <c r="H155" s="21"/>
      <c r="I155" s="20"/>
      <c r="J155" s="20"/>
      <c r="K155" s="20"/>
    </row>
    <row r="156" spans="8:11" ht="30" customHeight="1" x14ac:dyDescent="0.3">
      <c r="H156" s="21"/>
      <c r="I156" s="20"/>
      <c r="J156" s="20"/>
      <c r="K156" s="20"/>
    </row>
    <row r="157" spans="8:11" ht="30" customHeight="1" x14ac:dyDescent="0.3">
      <c r="H157" s="21"/>
      <c r="I157" s="20"/>
      <c r="J157" s="20"/>
      <c r="K157" s="20"/>
    </row>
    <row r="158" spans="8:11" ht="30" customHeight="1" x14ac:dyDescent="0.3">
      <c r="H158" s="21"/>
      <c r="I158" s="20"/>
      <c r="J158" s="20"/>
      <c r="K158" s="20"/>
    </row>
    <row r="159" spans="8:11" ht="30" customHeight="1" x14ac:dyDescent="0.3">
      <c r="H159" s="21"/>
      <c r="I159" s="20"/>
      <c r="J159" s="20"/>
      <c r="K159" s="20"/>
    </row>
    <row r="160" spans="8:11" ht="30" customHeight="1" x14ac:dyDescent="0.3">
      <c r="H160" s="21"/>
      <c r="I160" s="20"/>
      <c r="J160" s="20"/>
      <c r="K160" s="20"/>
    </row>
    <row r="161" spans="8:11" ht="30" customHeight="1" x14ac:dyDescent="0.3">
      <c r="H161" s="21"/>
      <c r="I161" s="20"/>
      <c r="J161" s="20"/>
      <c r="K161" s="20"/>
    </row>
    <row r="162" spans="8:11" ht="30" customHeight="1" x14ac:dyDescent="0.3">
      <c r="H162" s="21"/>
      <c r="I162" s="20"/>
      <c r="J162" s="20"/>
      <c r="K162" s="20"/>
    </row>
    <row r="163" spans="8:11" ht="30" customHeight="1" x14ac:dyDescent="0.3">
      <c r="H163" s="21"/>
      <c r="I163" s="20"/>
      <c r="J163" s="20"/>
      <c r="K163" s="20"/>
    </row>
    <row r="164" spans="8:11" ht="30" customHeight="1" x14ac:dyDescent="0.3">
      <c r="H164" s="21"/>
      <c r="I164" s="20"/>
      <c r="J164" s="20"/>
      <c r="K164" s="20"/>
    </row>
    <row r="165" spans="8:11" ht="30" customHeight="1" x14ac:dyDescent="0.3">
      <c r="H165" s="21"/>
      <c r="I165" s="20"/>
      <c r="J165" s="20"/>
      <c r="K165" s="20"/>
    </row>
    <row r="166" spans="8:11" ht="30" customHeight="1" x14ac:dyDescent="0.3">
      <c r="H166" s="21"/>
      <c r="I166" s="20"/>
      <c r="J166" s="20"/>
      <c r="K166" s="20"/>
    </row>
    <row r="167" spans="8:11" ht="30" customHeight="1" x14ac:dyDescent="0.3">
      <c r="H167" s="21"/>
      <c r="I167" s="20"/>
      <c r="J167" s="20"/>
      <c r="K167" s="20"/>
    </row>
    <row r="168" spans="8:11" ht="30" customHeight="1" x14ac:dyDescent="0.3">
      <c r="H168" s="21"/>
      <c r="I168" s="20"/>
      <c r="J168" s="20"/>
      <c r="K168" s="20"/>
    </row>
    <row r="169" spans="8:11" ht="30" customHeight="1" x14ac:dyDescent="0.3">
      <c r="H169" s="21"/>
      <c r="I169" s="20"/>
      <c r="J169" s="20"/>
      <c r="K169" s="20"/>
    </row>
    <row r="170" spans="8:11" ht="30" customHeight="1" x14ac:dyDescent="0.3">
      <c r="H170" s="21"/>
      <c r="I170" s="20"/>
      <c r="J170" s="20"/>
      <c r="K170" s="20"/>
    </row>
    <row r="171" spans="8:11" ht="30" customHeight="1" x14ac:dyDescent="0.3">
      <c r="H171" s="21"/>
      <c r="I171" s="20"/>
      <c r="J171" s="20"/>
      <c r="K171" s="20"/>
    </row>
    <row r="172" spans="8:11" ht="30" customHeight="1" x14ac:dyDescent="0.3">
      <c r="H172" s="21"/>
      <c r="I172" s="20"/>
      <c r="J172" s="20"/>
      <c r="K172" s="20"/>
    </row>
    <row r="173" spans="8:11" ht="30" customHeight="1" x14ac:dyDescent="0.3">
      <c r="H173" s="21"/>
      <c r="I173" s="20"/>
      <c r="J173" s="20"/>
      <c r="K173" s="20"/>
    </row>
    <row r="174" spans="8:11" ht="30" customHeight="1" x14ac:dyDescent="0.3">
      <c r="H174" s="21"/>
      <c r="I174" s="20"/>
      <c r="J174" s="20"/>
      <c r="K174" s="20"/>
    </row>
    <row r="175" spans="8:11" ht="30" customHeight="1" x14ac:dyDescent="0.3">
      <c r="H175" s="21"/>
      <c r="I175" s="20"/>
      <c r="J175" s="20"/>
      <c r="K175" s="20"/>
    </row>
    <row r="176" spans="8:11" ht="30" customHeight="1" x14ac:dyDescent="0.3">
      <c r="H176" s="21"/>
      <c r="I176" s="20"/>
      <c r="J176" s="20"/>
      <c r="K176" s="20"/>
    </row>
    <row r="177" spans="8:11" ht="30" customHeight="1" x14ac:dyDescent="0.3">
      <c r="H177" s="21"/>
      <c r="I177" s="20"/>
      <c r="J177" s="20"/>
      <c r="K177" s="20"/>
    </row>
    <row r="178" spans="8:11" ht="30" customHeight="1" x14ac:dyDescent="0.3">
      <c r="H178" s="21"/>
      <c r="I178" s="20"/>
      <c r="J178" s="20"/>
      <c r="K178" s="20"/>
    </row>
    <row r="179" spans="8:11" ht="30" customHeight="1" x14ac:dyDescent="0.3">
      <c r="H179" s="21"/>
      <c r="I179" s="20"/>
      <c r="J179" s="20"/>
      <c r="K179" s="20"/>
    </row>
    <row r="180" spans="8:11" ht="30" customHeight="1" x14ac:dyDescent="0.3">
      <c r="H180" s="21"/>
      <c r="I180" s="20"/>
      <c r="J180" s="20"/>
      <c r="K180" s="20"/>
    </row>
    <row r="181" spans="8:11" ht="30" customHeight="1" x14ac:dyDescent="0.3">
      <c r="H181" s="21"/>
      <c r="I181" s="20"/>
      <c r="J181" s="20"/>
      <c r="K181" s="20"/>
    </row>
    <row r="182" spans="8:11" ht="30" customHeight="1" x14ac:dyDescent="0.3">
      <c r="H182" s="21"/>
      <c r="I182" s="20"/>
      <c r="J182" s="20"/>
      <c r="K182" s="20"/>
    </row>
    <row r="183" spans="8:11" ht="30" customHeight="1" x14ac:dyDescent="0.3">
      <c r="H183" s="21"/>
      <c r="I183" s="20"/>
      <c r="J183" s="20"/>
      <c r="K183" s="20"/>
    </row>
    <row r="184" spans="8:11" ht="30" customHeight="1" x14ac:dyDescent="0.3">
      <c r="H184" s="21"/>
      <c r="I184" s="20"/>
      <c r="J184" s="20"/>
      <c r="K184" s="20"/>
    </row>
    <row r="185" spans="8:11" ht="30" customHeight="1" x14ac:dyDescent="0.3">
      <c r="H185" s="21"/>
      <c r="I185" s="20"/>
      <c r="J185" s="20"/>
      <c r="K185" s="20"/>
    </row>
    <row r="186" spans="8:11" ht="30" customHeight="1" x14ac:dyDescent="0.3">
      <c r="H186" s="21"/>
      <c r="I186" s="20"/>
      <c r="J186" s="20"/>
      <c r="K186" s="20"/>
    </row>
    <row r="187" spans="8:11" ht="30" customHeight="1" x14ac:dyDescent="0.3">
      <c r="H187" s="21"/>
      <c r="I187" s="20"/>
      <c r="J187" s="20"/>
      <c r="K187" s="20"/>
    </row>
    <row r="188" spans="8:11" ht="30" customHeight="1" x14ac:dyDescent="0.3">
      <c r="H188" s="21"/>
      <c r="I188" s="20"/>
      <c r="J188" s="20"/>
      <c r="K188" s="20"/>
    </row>
    <row r="189" spans="8:11" ht="30" customHeight="1" x14ac:dyDescent="0.3">
      <c r="H189" s="21"/>
      <c r="I189" s="20"/>
      <c r="J189" s="20"/>
      <c r="K189" s="20"/>
    </row>
    <row r="190" spans="8:11" ht="30" customHeight="1" x14ac:dyDescent="0.3">
      <c r="H190" s="21"/>
      <c r="I190" s="20"/>
      <c r="J190" s="20"/>
      <c r="K190" s="20"/>
    </row>
    <row r="191" spans="8:11" ht="30" customHeight="1" x14ac:dyDescent="0.3">
      <c r="H191" s="21"/>
      <c r="I191" s="20"/>
      <c r="J191" s="20"/>
      <c r="K191" s="20"/>
    </row>
    <row r="192" spans="8:11" ht="30" customHeight="1" x14ac:dyDescent="0.3">
      <c r="H192" s="21"/>
      <c r="I192" s="20"/>
      <c r="J192" s="20"/>
      <c r="K192" s="20"/>
    </row>
    <row r="193" spans="8:11" ht="30" customHeight="1" x14ac:dyDescent="0.3">
      <c r="H193" s="21"/>
      <c r="I193" s="20"/>
      <c r="J193" s="20"/>
      <c r="K193" s="20"/>
    </row>
    <row r="194" spans="8:11" ht="30" customHeight="1" x14ac:dyDescent="0.3">
      <c r="H194" s="21"/>
      <c r="I194" s="20"/>
      <c r="J194" s="20"/>
      <c r="K194" s="20"/>
    </row>
    <row r="195" spans="8:11" ht="30" customHeight="1" x14ac:dyDescent="0.3">
      <c r="H195" s="21"/>
      <c r="I195" s="20"/>
      <c r="J195" s="20"/>
      <c r="K195" s="20"/>
    </row>
    <row r="196" spans="8:11" ht="30" customHeight="1" x14ac:dyDescent="0.3">
      <c r="H196" s="21"/>
      <c r="I196" s="20"/>
      <c r="J196" s="20"/>
      <c r="K196" s="20"/>
    </row>
    <row r="197" spans="8:11" ht="30" customHeight="1" x14ac:dyDescent="0.3">
      <c r="H197" s="21"/>
      <c r="I197" s="20"/>
      <c r="J197" s="20"/>
      <c r="K197" s="20"/>
    </row>
    <row r="198" spans="8:11" ht="30" customHeight="1" x14ac:dyDescent="0.3">
      <c r="H198" s="21"/>
      <c r="I198" s="20"/>
      <c r="J198" s="20"/>
      <c r="K198" s="20"/>
    </row>
    <row r="199" spans="8:11" ht="30" customHeight="1" x14ac:dyDescent="0.3">
      <c r="H199" s="21"/>
      <c r="I199" s="20"/>
      <c r="J199" s="20"/>
      <c r="K199" s="20"/>
    </row>
    <row r="200" spans="8:11" ht="30" customHeight="1" x14ac:dyDescent="0.3">
      <c r="H200" s="21"/>
      <c r="I200" s="20"/>
      <c r="J200" s="20"/>
      <c r="K200" s="20"/>
    </row>
    <row r="201" spans="8:11" ht="30" customHeight="1" x14ac:dyDescent="0.3">
      <c r="H201" s="21"/>
      <c r="I201" s="20"/>
      <c r="J201" s="20"/>
      <c r="K201" s="20"/>
    </row>
    <row r="202" spans="8:11" ht="30" customHeight="1" x14ac:dyDescent="0.3">
      <c r="H202" s="21"/>
      <c r="I202" s="20"/>
      <c r="J202" s="20"/>
      <c r="K202" s="20"/>
    </row>
    <row r="203" spans="8:11" ht="30" customHeight="1" x14ac:dyDescent="0.3">
      <c r="H203" s="21"/>
      <c r="I203" s="20"/>
      <c r="J203" s="20"/>
      <c r="K203" s="20"/>
    </row>
    <row r="204" spans="8:11" ht="30" customHeight="1" x14ac:dyDescent="0.3">
      <c r="H204" s="21"/>
      <c r="I204" s="20"/>
      <c r="J204" s="20"/>
      <c r="K204" s="20"/>
    </row>
    <row r="205" spans="8:11" ht="30" customHeight="1" x14ac:dyDescent="0.3">
      <c r="H205" s="21"/>
      <c r="I205" s="20"/>
      <c r="J205" s="20"/>
      <c r="K205" s="20"/>
    </row>
    <row r="206" spans="8:11" ht="30" customHeight="1" x14ac:dyDescent="0.3">
      <c r="H206" s="21"/>
      <c r="I206" s="20"/>
      <c r="J206" s="20"/>
      <c r="K206" s="20"/>
    </row>
    <row r="207" spans="8:11" ht="30" customHeight="1" x14ac:dyDescent="0.3">
      <c r="H207" s="21"/>
      <c r="I207" s="20"/>
      <c r="J207" s="20"/>
      <c r="K207" s="20"/>
    </row>
    <row r="208" spans="8:11" ht="30" customHeight="1" x14ac:dyDescent="0.3">
      <c r="H208" s="21"/>
      <c r="I208" s="20"/>
      <c r="J208" s="20"/>
      <c r="K208" s="20"/>
    </row>
    <row r="209" spans="8:11" ht="30" customHeight="1" x14ac:dyDescent="0.3">
      <c r="H209" s="21"/>
      <c r="I209" s="20"/>
      <c r="J209" s="20"/>
      <c r="K209" s="20"/>
    </row>
    <row r="210" spans="8:11" ht="30" customHeight="1" x14ac:dyDescent="0.3">
      <c r="H210" s="21"/>
      <c r="I210" s="20"/>
      <c r="J210" s="20"/>
      <c r="K210" s="20"/>
    </row>
    <row r="211" spans="8:11" ht="30" customHeight="1" x14ac:dyDescent="0.3">
      <c r="H211" s="21"/>
      <c r="I211" s="20"/>
      <c r="J211" s="20"/>
      <c r="K211" s="20"/>
    </row>
    <row r="212" spans="8:11" ht="30" customHeight="1" x14ac:dyDescent="0.3">
      <c r="H212" s="21"/>
      <c r="I212" s="20"/>
      <c r="J212" s="20"/>
      <c r="K212" s="20"/>
    </row>
    <row r="213" spans="8:11" ht="30" customHeight="1" x14ac:dyDescent="0.3">
      <c r="H213" s="21"/>
      <c r="I213" s="20"/>
      <c r="J213" s="20"/>
      <c r="K213" s="20"/>
    </row>
    <row r="214" spans="8:11" ht="30" customHeight="1" x14ac:dyDescent="0.3">
      <c r="H214" s="21"/>
      <c r="I214" s="20"/>
      <c r="J214" s="20"/>
      <c r="K214" s="20"/>
    </row>
    <row r="215" spans="8:11" ht="30" customHeight="1" x14ac:dyDescent="0.3">
      <c r="H215" s="21"/>
      <c r="I215" s="20"/>
      <c r="J215" s="20"/>
      <c r="K215" s="20"/>
    </row>
    <row r="216" spans="8:11" ht="30" customHeight="1" x14ac:dyDescent="0.3">
      <c r="H216" s="21"/>
      <c r="I216" s="20"/>
      <c r="J216" s="20"/>
      <c r="K216" s="20"/>
    </row>
    <row r="217" spans="8:11" ht="30" customHeight="1" x14ac:dyDescent="0.3">
      <c r="H217" s="21"/>
      <c r="I217" s="20"/>
      <c r="J217" s="20"/>
      <c r="K217" s="20"/>
    </row>
    <row r="218" spans="8:11" ht="30" customHeight="1" x14ac:dyDescent="0.3">
      <c r="H218" s="21"/>
      <c r="I218" s="20"/>
      <c r="J218" s="20"/>
      <c r="K218" s="20"/>
    </row>
    <row r="219" spans="8:11" ht="30" customHeight="1" x14ac:dyDescent="0.3">
      <c r="H219" s="21"/>
      <c r="I219" s="20"/>
      <c r="J219" s="20"/>
      <c r="K219" s="20"/>
    </row>
    <row r="220" spans="8:11" ht="30" customHeight="1" x14ac:dyDescent="0.3">
      <c r="H220" s="21"/>
      <c r="I220" s="20"/>
      <c r="J220" s="20"/>
      <c r="K220" s="20"/>
    </row>
    <row r="221" spans="8:11" ht="30" customHeight="1" x14ac:dyDescent="0.3">
      <c r="H221" s="21"/>
      <c r="I221" s="20"/>
      <c r="J221" s="20"/>
      <c r="K221" s="20"/>
    </row>
    <row r="222" spans="8:11" ht="30" customHeight="1" x14ac:dyDescent="0.3">
      <c r="H222" s="21"/>
      <c r="I222" s="20"/>
      <c r="J222" s="20"/>
      <c r="K222" s="20"/>
    </row>
    <row r="223" spans="8:11" ht="30" customHeight="1" x14ac:dyDescent="0.3">
      <c r="H223" s="21"/>
      <c r="I223" s="20"/>
      <c r="J223" s="20"/>
      <c r="K223" s="20"/>
    </row>
    <row r="224" spans="8:11" ht="30" customHeight="1" x14ac:dyDescent="0.3">
      <c r="H224" s="21"/>
      <c r="I224" s="20"/>
      <c r="J224" s="20"/>
      <c r="K224" s="20"/>
    </row>
    <row r="225" spans="8:11" ht="30" customHeight="1" x14ac:dyDescent="0.3">
      <c r="H225" s="21"/>
      <c r="I225" s="20"/>
      <c r="J225" s="20"/>
      <c r="K225" s="20"/>
    </row>
    <row r="226" spans="8:11" ht="30" customHeight="1" x14ac:dyDescent="0.3">
      <c r="H226" s="21"/>
      <c r="I226" s="20"/>
      <c r="J226" s="20"/>
      <c r="K226" s="20"/>
    </row>
    <row r="227" spans="8:11" ht="30" customHeight="1" x14ac:dyDescent="0.3">
      <c r="H227" s="21"/>
      <c r="I227" s="20"/>
      <c r="J227" s="20"/>
      <c r="K227" s="20"/>
    </row>
    <row r="228" spans="8:11" ht="30" customHeight="1" x14ac:dyDescent="0.3">
      <c r="H228" s="21"/>
      <c r="I228" s="20"/>
      <c r="J228" s="20"/>
      <c r="K228" s="20"/>
    </row>
    <row r="229" spans="8:11" ht="30" customHeight="1" x14ac:dyDescent="0.3">
      <c r="H229" s="21"/>
      <c r="I229" s="20"/>
      <c r="J229" s="20"/>
      <c r="K229" s="20"/>
    </row>
    <row r="230" spans="8:11" ht="30" customHeight="1" x14ac:dyDescent="0.3">
      <c r="H230" s="21"/>
      <c r="I230" s="20"/>
      <c r="J230" s="20"/>
      <c r="K230" s="20"/>
    </row>
    <row r="231" spans="8:11" ht="30" customHeight="1" x14ac:dyDescent="0.3">
      <c r="H231" s="21"/>
      <c r="I231" s="20"/>
      <c r="J231" s="20"/>
      <c r="K231" s="20"/>
    </row>
    <row r="232" spans="8:11" ht="30" customHeight="1" x14ac:dyDescent="0.3">
      <c r="H232" s="21"/>
      <c r="I232" s="20"/>
      <c r="J232" s="20"/>
      <c r="K232" s="20"/>
    </row>
    <row r="233" spans="8:11" ht="30" customHeight="1" x14ac:dyDescent="0.3">
      <c r="H233" s="21"/>
      <c r="I233" s="20"/>
      <c r="J233" s="20"/>
      <c r="K233" s="20"/>
    </row>
    <row r="234" spans="8:11" ht="30" customHeight="1" x14ac:dyDescent="0.3">
      <c r="H234" s="21"/>
      <c r="I234" s="20"/>
      <c r="J234" s="20"/>
      <c r="K234" s="20"/>
    </row>
    <row r="235" spans="8:11" ht="30" customHeight="1" x14ac:dyDescent="0.3">
      <c r="H235" s="21"/>
      <c r="I235" s="20"/>
      <c r="J235" s="20"/>
      <c r="K235" s="20"/>
    </row>
    <row r="236" spans="8:11" ht="30" customHeight="1" x14ac:dyDescent="0.3">
      <c r="H236" s="21"/>
      <c r="I236" s="20"/>
      <c r="J236" s="20"/>
      <c r="K236" s="20"/>
    </row>
    <row r="237" spans="8:11" ht="30" customHeight="1" x14ac:dyDescent="0.3">
      <c r="H237" s="21"/>
      <c r="I237" s="20"/>
      <c r="J237" s="20"/>
      <c r="K237" s="20"/>
    </row>
    <row r="238" spans="8:11" ht="30" customHeight="1" x14ac:dyDescent="0.3">
      <c r="H238" s="21"/>
      <c r="I238" s="20"/>
      <c r="J238" s="20"/>
      <c r="K238" s="20"/>
    </row>
    <row r="239" spans="8:11" ht="30" customHeight="1" x14ac:dyDescent="0.3">
      <c r="H239" s="21"/>
      <c r="I239" s="20"/>
      <c r="J239" s="20"/>
      <c r="K239" s="20"/>
    </row>
    <row r="240" spans="8:11" ht="30" customHeight="1" x14ac:dyDescent="0.3">
      <c r="H240" s="21"/>
      <c r="I240" s="20"/>
      <c r="J240" s="20"/>
      <c r="K240" s="20"/>
    </row>
    <row r="241" spans="8:11" ht="30" customHeight="1" x14ac:dyDescent="0.3">
      <c r="H241" s="21"/>
      <c r="I241" s="20"/>
      <c r="J241" s="20"/>
      <c r="K241" s="20"/>
    </row>
    <row r="242" spans="8:11" ht="30" customHeight="1" x14ac:dyDescent="0.3">
      <c r="H242" s="21"/>
      <c r="I242" s="20"/>
      <c r="J242" s="20"/>
      <c r="K242" s="20"/>
    </row>
    <row r="243" spans="8:11" ht="30" customHeight="1" x14ac:dyDescent="0.3">
      <c r="H243" s="21"/>
      <c r="I243" s="20"/>
      <c r="J243" s="20"/>
      <c r="K243" s="20"/>
    </row>
    <row r="244" spans="8:11" ht="30" customHeight="1" x14ac:dyDescent="0.3">
      <c r="H244" s="21"/>
      <c r="I244" s="20"/>
      <c r="J244" s="20"/>
      <c r="K244" s="20"/>
    </row>
    <row r="245" spans="8:11" ht="30" customHeight="1" x14ac:dyDescent="0.3">
      <c r="H245" s="21"/>
      <c r="I245" s="20"/>
      <c r="J245" s="20"/>
      <c r="K245" s="20"/>
    </row>
    <row r="246" spans="8:11" ht="30" customHeight="1" x14ac:dyDescent="0.3">
      <c r="H246" s="21"/>
      <c r="I246" s="20"/>
      <c r="J246" s="20"/>
      <c r="K246" s="20"/>
    </row>
    <row r="247" spans="8:11" ht="30" customHeight="1" x14ac:dyDescent="0.3">
      <c r="H247" s="21"/>
      <c r="I247" s="20"/>
      <c r="J247" s="20"/>
      <c r="K247" s="20"/>
    </row>
    <row r="248" spans="8:11" ht="30" customHeight="1" x14ac:dyDescent="0.3">
      <c r="H248" s="21"/>
      <c r="I248" s="20"/>
      <c r="J248" s="20"/>
      <c r="K248" s="20"/>
    </row>
    <row r="249" spans="8:11" ht="30" customHeight="1" x14ac:dyDescent="0.3">
      <c r="H249" s="21"/>
      <c r="I249" s="20"/>
      <c r="J249" s="20"/>
      <c r="K249" s="20"/>
    </row>
    <row r="250" spans="8:11" ht="30" customHeight="1" x14ac:dyDescent="0.3">
      <c r="H250" s="21"/>
      <c r="I250" s="20"/>
      <c r="J250" s="20"/>
      <c r="K250" s="20"/>
    </row>
    <row r="251" spans="8:11" ht="30" customHeight="1" x14ac:dyDescent="0.3">
      <c r="H251" s="21"/>
      <c r="I251" s="20"/>
      <c r="J251" s="20"/>
      <c r="K251" s="20"/>
    </row>
    <row r="252" spans="8:11" ht="30" customHeight="1" x14ac:dyDescent="0.3">
      <c r="H252" s="21"/>
      <c r="I252" s="20"/>
      <c r="J252" s="20"/>
      <c r="K252" s="20"/>
    </row>
    <row r="253" spans="8:11" ht="30" customHeight="1" x14ac:dyDescent="0.3">
      <c r="H253" s="21"/>
      <c r="I253" s="20"/>
      <c r="J253" s="20"/>
      <c r="K253" s="20"/>
    </row>
    <row r="254" spans="8:11" ht="30" customHeight="1" x14ac:dyDescent="0.3">
      <c r="H254" s="21"/>
      <c r="I254" s="20"/>
      <c r="J254" s="20"/>
      <c r="K254" s="20"/>
    </row>
    <row r="255" spans="8:11" ht="30" customHeight="1" x14ac:dyDescent="0.3">
      <c r="H255" s="21"/>
      <c r="I255" s="20"/>
      <c r="J255" s="20"/>
      <c r="K255" s="20"/>
    </row>
    <row r="256" spans="8:11" ht="30" customHeight="1" x14ac:dyDescent="0.3">
      <c r="H256" s="21"/>
      <c r="I256" s="20"/>
      <c r="J256" s="20"/>
      <c r="K256" s="20"/>
    </row>
    <row r="257" spans="8:11" ht="30" customHeight="1" x14ac:dyDescent="0.3">
      <c r="H257" s="21"/>
      <c r="I257" s="20"/>
      <c r="J257" s="20"/>
      <c r="K257" s="20"/>
    </row>
    <row r="258" spans="8:11" ht="30" customHeight="1" x14ac:dyDescent="0.3">
      <c r="H258" s="21"/>
      <c r="I258" s="20"/>
      <c r="J258" s="20"/>
      <c r="K258" s="20"/>
    </row>
    <row r="259" spans="8:11" ht="30" customHeight="1" x14ac:dyDescent="0.3">
      <c r="H259" s="21"/>
      <c r="I259" s="20"/>
      <c r="J259" s="20"/>
      <c r="K259" s="20"/>
    </row>
    <row r="260" spans="8:11" ht="30" customHeight="1" x14ac:dyDescent="0.3">
      <c r="H260" s="21"/>
      <c r="I260" s="20"/>
      <c r="J260" s="20"/>
      <c r="K260" s="20"/>
    </row>
    <row r="261" spans="8:11" ht="30" customHeight="1" x14ac:dyDescent="0.3">
      <c r="H261" s="21"/>
      <c r="I261" s="20"/>
      <c r="J261" s="20"/>
      <c r="K261" s="20"/>
    </row>
    <row r="262" spans="8:11" ht="30" customHeight="1" x14ac:dyDescent="0.3">
      <c r="H262" s="21"/>
      <c r="I262" s="20"/>
      <c r="J262" s="20"/>
      <c r="K262" s="20"/>
    </row>
    <row r="263" spans="8:11" ht="30" customHeight="1" x14ac:dyDescent="0.3">
      <c r="H263" s="21"/>
      <c r="I263" s="20"/>
      <c r="J263" s="20"/>
      <c r="K263" s="20"/>
    </row>
    <row r="264" spans="8:11" ht="30" customHeight="1" x14ac:dyDescent="0.3">
      <c r="H264" s="21"/>
      <c r="I264" s="20"/>
      <c r="J264" s="20"/>
      <c r="K264" s="20"/>
    </row>
    <row r="265" spans="8:11" ht="30" customHeight="1" x14ac:dyDescent="0.3">
      <c r="H265" s="21"/>
      <c r="I265" s="20"/>
      <c r="J265" s="20"/>
      <c r="K265" s="20"/>
    </row>
    <row r="266" spans="8:11" ht="30" customHeight="1" x14ac:dyDescent="0.3">
      <c r="H266" s="21"/>
      <c r="I266" s="20"/>
      <c r="J266" s="20"/>
      <c r="K266" s="20"/>
    </row>
    <row r="267" spans="8:11" ht="30" customHeight="1" x14ac:dyDescent="0.3">
      <c r="H267" s="21"/>
      <c r="I267" s="20"/>
      <c r="J267" s="20"/>
      <c r="K267" s="20"/>
    </row>
    <row r="268" spans="8:11" ht="30" customHeight="1" x14ac:dyDescent="0.3">
      <c r="H268" s="21"/>
      <c r="I268" s="20"/>
      <c r="J268" s="20"/>
      <c r="K268" s="20"/>
    </row>
    <row r="269" spans="8:11" ht="30" customHeight="1" x14ac:dyDescent="0.3">
      <c r="H269" s="21"/>
      <c r="I269" s="20"/>
      <c r="J269" s="20"/>
      <c r="K269" s="20"/>
    </row>
    <row r="270" spans="8:11" ht="30" customHeight="1" x14ac:dyDescent="0.3">
      <c r="H270" s="21"/>
      <c r="I270" s="20"/>
      <c r="J270" s="20"/>
      <c r="K270" s="20"/>
    </row>
    <row r="271" spans="8:11" ht="30" customHeight="1" x14ac:dyDescent="0.3">
      <c r="H271" s="21"/>
      <c r="I271" s="20"/>
      <c r="J271" s="20"/>
      <c r="K271" s="20"/>
    </row>
    <row r="272" spans="8:11" ht="30" customHeight="1" x14ac:dyDescent="0.3">
      <c r="H272" s="21"/>
      <c r="I272" s="20"/>
      <c r="J272" s="20"/>
      <c r="K272" s="20"/>
    </row>
    <row r="273" spans="8:11" ht="30" customHeight="1" x14ac:dyDescent="0.3">
      <c r="H273" s="21"/>
      <c r="I273" s="20"/>
      <c r="J273" s="20"/>
      <c r="K273" s="20"/>
    </row>
    <row r="274" spans="8:11" ht="30" customHeight="1" x14ac:dyDescent="0.3">
      <c r="H274" s="21"/>
      <c r="I274" s="20"/>
      <c r="J274" s="20"/>
      <c r="K274" s="20"/>
    </row>
    <row r="275" spans="8:11" ht="30" customHeight="1" x14ac:dyDescent="0.3">
      <c r="H275" s="21"/>
      <c r="I275" s="20"/>
      <c r="J275" s="20"/>
      <c r="K275" s="20"/>
    </row>
    <row r="276" spans="8:11" ht="30" customHeight="1" x14ac:dyDescent="0.3">
      <c r="H276" s="21"/>
      <c r="I276" s="20"/>
      <c r="J276" s="20"/>
      <c r="K276" s="20"/>
    </row>
    <row r="277" spans="8:11" ht="30" customHeight="1" x14ac:dyDescent="0.3">
      <c r="H277" s="21"/>
      <c r="I277" s="20"/>
      <c r="J277" s="20"/>
      <c r="K277" s="20"/>
    </row>
    <row r="278" spans="8:11" ht="30" customHeight="1" x14ac:dyDescent="0.3">
      <c r="H278" s="21"/>
      <c r="I278" s="20"/>
      <c r="J278" s="20"/>
      <c r="K278" s="20"/>
    </row>
    <row r="279" spans="8:11" ht="30" customHeight="1" x14ac:dyDescent="0.3">
      <c r="H279" s="21"/>
      <c r="I279" s="20"/>
      <c r="J279" s="20"/>
      <c r="K279" s="20"/>
    </row>
    <row r="280" spans="8:11" ht="30" customHeight="1" x14ac:dyDescent="0.3">
      <c r="H280" s="21"/>
      <c r="I280" s="20"/>
      <c r="J280" s="20"/>
      <c r="K280" s="20"/>
    </row>
    <row r="281" spans="8:11" ht="30" customHeight="1" x14ac:dyDescent="0.3">
      <c r="H281" s="21"/>
      <c r="I281" s="20"/>
      <c r="J281" s="20"/>
      <c r="K281" s="20"/>
    </row>
    <row r="282" spans="8:11" ht="30" customHeight="1" x14ac:dyDescent="0.3">
      <c r="H282" s="21"/>
      <c r="I282" s="20"/>
      <c r="J282" s="20"/>
      <c r="K282" s="20"/>
    </row>
    <row r="283" spans="8:11" ht="30" customHeight="1" x14ac:dyDescent="0.3">
      <c r="H283" s="21"/>
      <c r="I283" s="20"/>
      <c r="J283" s="20"/>
      <c r="K283" s="20"/>
    </row>
    <row r="284" spans="8:11" ht="30" customHeight="1" x14ac:dyDescent="0.3">
      <c r="H284" s="21"/>
      <c r="I284" s="20"/>
      <c r="J284" s="20"/>
      <c r="K284" s="20"/>
    </row>
    <row r="285" spans="8:11" ht="30" customHeight="1" x14ac:dyDescent="0.3">
      <c r="H285" s="21"/>
      <c r="I285" s="20"/>
      <c r="J285" s="20"/>
      <c r="K285" s="20"/>
    </row>
    <row r="286" spans="8:11" ht="30" customHeight="1" x14ac:dyDescent="0.3">
      <c r="H286" s="21"/>
      <c r="I286" s="20"/>
      <c r="J286" s="20"/>
      <c r="K286" s="20"/>
    </row>
    <row r="287" spans="8:11" ht="30" customHeight="1" x14ac:dyDescent="0.3">
      <c r="H287" s="21"/>
      <c r="I287" s="20"/>
      <c r="J287" s="20"/>
      <c r="K287" s="20"/>
    </row>
    <row r="288" spans="8:11" ht="30" customHeight="1" x14ac:dyDescent="0.3">
      <c r="H288" s="21"/>
      <c r="I288" s="20"/>
      <c r="J288" s="20"/>
      <c r="K288" s="20"/>
    </row>
    <row r="289" spans="8:11" ht="30" customHeight="1" x14ac:dyDescent="0.3">
      <c r="H289" s="21"/>
      <c r="I289" s="20"/>
      <c r="J289" s="20"/>
      <c r="K289" s="20"/>
    </row>
    <row r="290" spans="8:11" ht="30" customHeight="1" x14ac:dyDescent="0.3">
      <c r="H290" s="21"/>
      <c r="I290" s="20"/>
      <c r="J290" s="20"/>
      <c r="K290" s="20"/>
    </row>
    <row r="291" spans="8:11" ht="30" customHeight="1" x14ac:dyDescent="0.3">
      <c r="H291" s="21"/>
      <c r="I291" s="20"/>
      <c r="J291" s="20"/>
      <c r="K291" s="20"/>
    </row>
    <row r="292" spans="8:11" ht="30" customHeight="1" x14ac:dyDescent="0.3">
      <c r="H292" s="21"/>
      <c r="I292" s="20"/>
      <c r="J292" s="20"/>
      <c r="K292" s="20"/>
    </row>
    <row r="293" spans="8:11" ht="30" customHeight="1" x14ac:dyDescent="0.3">
      <c r="H293" s="21"/>
      <c r="I293" s="20"/>
      <c r="J293" s="20"/>
      <c r="K293" s="20"/>
    </row>
    <row r="294" spans="8:11" ht="30" customHeight="1" x14ac:dyDescent="0.3">
      <c r="H294" s="21"/>
      <c r="I294" s="20"/>
      <c r="J294" s="20"/>
      <c r="K294" s="20"/>
    </row>
    <row r="295" spans="8:11" ht="30" customHeight="1" x14ac:dyDescent="0.3">
      <c r="H295" s="21"/>
      <c r="I295" s="20"/>
      <c r="J295" s="20"/>
      <c r="K295" s="20"/>
    </row>
    <row r="296" spans="8:11" ht="30" customHeight="1" x14ac:dyDescent="0.3">
      <c r="H296" s="21"/>
      <c r="I296" s="20"/>
      <c r="J296" s="20"/>
      <c r="K296" s="20"/>
    </row>
    <row r="297" spans="8:11" ht="30" customHeight="1" x14ac:dyDescent="0.3">
      <c r="H297" s="21"/>
      <c r="I297" s="20"/>
      <c r="J297" s="20"/>
      <c r="K297" s="20"/>
    </row>
    <row r="298" spans="8:11" ht="30" customHeight="1" x14ac:dyDescent="0.3">
      <c r="H298" s="21"/>
      <c r="I298" s="20"/>
      <c r="J298" s="20"/>
      <c r="K298" s="20"/>
    </row>
    <row r="299" spans="8:11" ht="30" customHeight="1" x14ac:dyDescent="0.3">
      <c r="H299" s="21"/>
      <c r="I299" s="20"/>
      <c r="J299" s="20"/>
      <c r="K299" s="20"/>
    </row>
    <row r="300" spans="8:11" ht="30" customHeight="1" x14ac:dyDescent="0.3">
      <c r="H300" s="21"/>
      <c r="I300" s="20"/>
      <c r="J300" s="20"/>
      <c r="K300" s="20"/>
    </row>
    <row r="301" spans="8:11" ht="30" customHeight="1" x14ac:dyDescent="0.3">
      <c r="H301" s="21"/>
      <c r="I301" s="20"/>
      <c r="J301" s="20"/>
      <c r="K301" s="20"/>
    </row>
    <row r="302" spans="8:11" ht="30" customHeight="1" x14ac:dyDescent="0.3">
      <c r="H302" s="21"/>
      <c r="I302" s="20"/>
      <c r="J302" s="20"/>
      <c r="K302" s="20"/>
    </row>
    <row r="303" spans="8:11" ht="30" customHeight="1" x14ac:dyDescent="0.3">
      <c r="H303" s="21"/>
      <c r="I303" s="20"/>
      <c r="J303" s="20"/>
      <c r="K303" s="20"/>
    </row>
    <row r="304" spans="8:11" ht="30" customHeight="1" x14ac:dyDescent="0.3">
      <c r="H304" s="21"/>
      <c r="I304" s="20"/>
      <c r="J304" s="20"/>
      <c r="K304" s="20"/>
    </row>
    <row r="305" spans="8:11" ht="30" customHeight="1" x14ac:dyDescent="0.3">
      <c r="H305" s="21"/>
      <c r="I305" s="20"/>
      <c r="J305" s="20"/>
      <c r="K305" s="20"/>
    </row>
    <row r="306" spans="8:11" ht="30" customHeight="1" x14ac:dyDescent="0.3">
      <c r="H306" s="21"/>
      <c r="I306" s="20"/>
      <c r="J306" s="20"/>
      <c r="K306" s="20"/>
    </row>
    <row r="307" spans="8:11" ht="30" customHeight="1" x14ac:dyDescent="0.3">
      <c r="H307" s="21"/>
      <c r="I307" s="20"/>
      <c r="J307" s="20"/>
      <c r="K307" s="20"/>
    </row>
    <row r="308" spans="8:11" ht="30" customHeight="1" x14ac:dyDescent="0.3">
      <c r="H308" s="21"/>
      <c r="I308" s="20"/>
      <c r="J308" s="20"/>
      <c r="K308" s="20"/>
    </row>
    <row r="309" spans="8:11" ht="30" customHeight="1" x14ac:dyDescent="0.3">
      <c r="H309" s="21"/>
      <c r="I309" s="20"/>
      <c r="J309" s="20"/>
      <c r="K309" s="20"/>
    </row>
    <row r="310" spans="8:11" ht="30" customHeight="1" x14ac:dyDescent="0.3">
      <c r="H310" s="21"/>
      <c r="I310" s="20"/>
      <c r="J310" s="20"/>
      <c r="K310" s="20"/>
    </row>
    <row r="311" spans="8:11" ht="30" customHeight="1" x14ac:dyDescent="0.3">
      <c r="H311" s="21"/>
      <c r="I311" s="20"/>
      <c r="J311" s="20"/>
      <c r="K311" s="20"/>
    </row>
    <row r="312" spans="8:11" ht="30" customHeight="1" x14ac:dyDescent="0.3">
      <c r="H312" s="21"/>
      <c r="I312" s="20"/>
      <c r="J312" s="20"/>
      <c r="K312" s="20"/>
    </row>
    <row r="313" spans="8:11" ht="30" customHeight="1" x14ac:dyDescent="0.3">
      <c r="H313" s="21"/>
      <c r="I313" s="20"/>
      <c r="J313" s="20"/>
      <c r="K313" s="20"/>
    </row>
    <row r="314" spans="8:11" ht="30" customHeight="1" x14ac:dyDescent="0.3">
      <c r="H314" s="21"/>
      <c r="I314" s="20"/>
      <c r="J314" s="20"/>
      <c r="K314" s="20"/>
    </row>
    <row r="315" spans="8:11" ht="30" customHeight="1" x14ac:dyDescent="0.3">
      <c r="H315" s="21"/>
      <c r="I315" s="20"/>
      <c r="J315" s="20"/>
      <c r="K315" s="20"/>
    </row>
    <row r="316" spans="8:11" ht="30" customHeight="1" x14ac:dyDescent="0.3">
      <c r="H316" s="21"/>
      <c r="I316" s="20"/>
      <c r="J316" s="20"/>
      <c r="K316" s="20"/>
    </row>
    <row r="317" spans="8:11" ht="30" customHeight="1" x14ac:dyDescent="0.3">
      <c r="H317" s="21"/>
      <c r="I317" s="20"/>
      <c r="J317" s="20"/>
      <c r="K317" s="20"/>
    </row>
    <row r="318" spans="8:11" ht="30" customHeight="1" x14ac:dyDescent="0.3">
      <c r="H318" s="21"/>
      <c r="I318" s="20"/>
      <c r="J318" s="20"/>
      <c r="K318" s="20"/>
    </row>
    <row r="319" spans="8:11" ht="30" customHeight="1" x14ac:dyDescent="0.3">
      <c r="H319" s="21"/>
      <c r="I319" s="20"/>
      <c r="J319" s="20"/>
      <c r="K319" s="20"/>
    </row>
    <row r="320" spans="8:11" ht="30" customHeight="1" x14ac:dyDescent="0.3">
      <c r="H320" s="21"/>
      <c r="I320" s="20"/>
      <c r="J320" s="20"/>
      <c r="K320" s="20"/>
    </row>
    <row r="321" spans="8:11" ht="30" customHeight="1" x14ac:dyDescent="0.3">
      <c r="H321" s="21"/>
      <c r="I321" s="20"/>
      <c r="J321" s="20"/>
      <c r="K321" s="20"/>
    </row>
    <row r="322" spans="8:11" ht="30" customHeight="1" x14ac:dyDescent="0.3">
      <c r="H322" s="21"/>
      <c r="I322" s="20"/>
      <c r="J322" s="20"/>
      <c r="K322" s="20"/>
    </row>
    <row r="323" spans="8:11" ht="30" customHeight="1" x14ac:dyDescent="0.3">
      <c r="H323" s="21"/>
      <c r="I323" s="20"/>
      <c r="J323" s="20"/>
      <c r="K323" s="20"/>
    </row>
    <row r="324" spans="8:11" ht="30" customHeight="1" x14ac:dyDescent="0.3">
      <c r="H324" s="21"/>
      <c r="I324" s="20"/>
      <c r="J324" s="20"/>
      <c r="K324" s="20"/>
    </row>
    <row r="325" spans="8:11" ht="30" customHeight="1" x14ac:dyDescent="0.3">
      <c r="H325" s="21"/>
      <c r="I325" s="20"/>
      <c r="J325" s="20"/>
      <c r="K325" s="20"/>
    </row>
    <row r="326" spans="8:11" ht="30" customHeight="1" x14ac:dyDescent="0.3">
      <c r="H326" s="21"/>
      <c r="I326" s="20"/>
      <c r="J326" s="20"/>
      <c r="K326" s="20"/>
    </row>
    <row r="327" spans="8:11" ht="30" customHeight="1" x14ac:dyDescent="0.3">
      <c r="H327" s="21"/>
      <c r="I327" s="20"/>
      <c r="J327" s="20"/>
      <c r="K327" s="20"/>
    </row>
    <row r="328" spans="8:11" ht="30" customHeight="1" x14ac:dyDescent="0.3">
      <c r="H328" s="21"/>
      <c r="I328" s="20"/>
      <c r="J328" s="20"/>
      <c r="K328" s="20"/>
    </row>
    <row r="329" spans="8:11" ht="30" customHeight="1" x14ac:dyDescent="0.3">
      <c r="H329" s="21"/>
      <c r="I329" s="20"/>
      <c r="J329" s="20"/>
      <c r="K329" s="20"/>
    </row>
    <row r="330" spans="8:11" ht="30" customHeight="1" x14ac:dyDescent="0.3">
      <c r="H330" s="21"/>
      <c r="I330" s="20"/>
      <c r="J330" s="20"/>
      <c r="K330" s="20"/>
    </row>
    <row r="331" spans="8:11" ht="30" customHeight="1" x14ac:dyDescent="0.3">
      <c r="H331" s="21"/>
      <c r="I331" s="20"/>
      <c r="J331" s="20"/>
      <c r="K331" s="20"/>
    </row>
    <row r="332" spans="8:11" ht="30" customHeight="1" x14ac:dyDescent="0.3">
      <c r="H332" s="21"/>
      <c r="I332" s="20"/>
      <c r="J332" s="20"/>
      <c r="K332" s="20"/>
    </row>
    <row r="333" spans="8:11" ht="30" customHeight="1" x14ac:dyDescent="0.3">
      <c r="H333" s="21"/>
      <c r="I333" s="20"/>
      <c r="J333" s="20"/>
      <c r="K333" s="20"/>
    </row>
    <row r="334" spans="8:11" ht="30" customHeight="1" x14ac:dyDescent="0.3">
      <c r="H334" s="21"/>
      <c r="I334" s="20"/>
      <c r="J334" s="20"/>
      <c r="K334" s="20"/>
    </row>
    <row r="335" spans="8:11" ht="30" customHeight="1" x14ac:dyDescent="0.3">
      <c r="H335" s="21"/>
      <c r="I335" s="20"/>
      <c r="J335" s="20"/>
      <c r="K335" s="20"/>
    </row>
    <row r="336" spans="8:11" ht="30" customHeight="1" x14ac:dyDescent="0.3">
      <c r="H336" s="21"/>
      <c r="I336" s="20"/>
      <c r="J336" s="20"/>
      <c r="K336" s="20"/>
    </row>
    <row r="337" spans="8:11" ht="30" customHeight="1" x14ac:dyDescent="0.3">
      <c r="H337" s="21"/>
      <c r="I337" s="20"/>
      <c r="J337" s="20"/>
      <c r="K337" s="20"/>
    </row>
    <row r="338" spans="8:11" ht="30" customHeight="1" x14ac:dyDescent="0.3">
      <c r="H338" s="21"/>
      <c r="I338" s="20"/>
      <c r="J338" s="20"/>
      <c r="K338" s="20"/>
    </row>
    <row r="339" spans="8:11" ht="30" customHeight="1" x14ac:dyDescent="0.3">
      <c r="H339" s="21"/>
      <c r="I339" s="20"/>
      <c r="J339" s="20"/>
      <c r="K339" s="20"/>
    </row>
    <row r="340" spans="8:11" ht="30" customHeight="1" x14ac:dyDescent="0.3">
      <c r="H340" s="21"/>
      <c r="I340" s="20"/>
      <c r="J340" s="20"/>
      <c r="K340" s="20"/>
    </row>
    <row r="341" spans="8:11" ht="30" customHeight="1" x14ac:dyDescent="0.3">
      <c r="H341" s="21"/>
      <c r="I341" s="20"/>
      <c r="J341" s="20"/>
      <c r="K341" s="20"/>
    </row>
    <row r="342" spans="8:11" ht="30" customHeight="1" x14ac:dyDescent="0.3">
      <c r="H342" s="21"/>
      <c r="I342" s="20"/>
      <c r="J342" s="20"/>
      <c r="K342" s="20"/>
    </row>
    <row r="343" spans="8:11" ht="30" customHeight="1" x14ac:dyDescent="0.3">
      <c r="H343" s="21"/>
      <c r="I343" s="20"/>
      <c r="J343" s="20"/>
      <c r="K343" s="20"/>
    </row>
    <row r="344" spans="8:11" ht="30" customHeight="1" x14ac:dyDescent="0.3">
      <c r="H344" s="21"/>
      <c r="I344" s="20"/>
      <c r="J344" s="20"/>
      <c r="K344" s="20"/>
    </row>
    <row r="345" spans="8:11" ht="30" customHeight="1" x14ac:dyDescent="0.3">
      <c r="H345" s="21"/>
      <c r="I345" s="20"/>
      <c r="J345" s="20"/>
      <c r="K345" s="20"/>
    </row>
    <row r="346" spans="8:11" ht="30" customHeight="1" x14ac:dyDescent="0.3">
      <c r="H346" s="21"/>
      <c r="I346" s="20"/>
      <c r="J346" s="20"/>
      <c r="K346" s="20"/>
    </row>
    <row r="347" spans="8:11" ht="30" customHeight="1" x14ac:dyDescent="0.3">
      <c r="H347" s="21"/>
      <c r="I347" s="20"/>
      <c r="J347" s="20"/>
      <c r="K347" s="20"/>
    </row>
    <row r="348" spans="8:11" ht="30" customHeight="1" x14ac:dyDescent="0.3">
      <c r="H348" s="21"/>
      <c r="I348" s="20"/>
      <c r="J348" s="20"/>
      <c r="K348" s="20"/>
    </row>
    <row r="349" spans="8:11" ht="30" customHeight="1" x14ac:dyDescent="0.3">
      <c r="H349" s="21"/>
      <c r="I349" s="20"/>
      <c r="J349" s="20"/>
      <c r="K349" s="20"/>
    </row>
    <row r="350" spans="8:11" ht="30" customHeight="1" x14ac:dyDescent="0.3">
      <c r="H350" s="21"/>
      <c r="I350" s="20"/>
      <c r="J350" s="20"/>
      <c r="K350" s="20"/>
    </row>
    <row r="351" spans="8:11" ht="30" customHeight="1" x14ac:dyDescent="0.3">
      <c r="H351" s="21"/>
      <c r="I351" s="20"/>
      <c r="J351" s="20"/>
      <c r="K351" s="20"/>
    </row>
    <row r="352" spans="8:11" ht="30" customHeight="1" x14ac:dyDescent="0.3">
      <c r="H352" s="21"/>
      <c r="I352" s="20"/>
      <c r="J352" s="20"/>
      <c r="K352" s="20"/>
    </row>
    <row r="353" spans="8:11" ht="30" customHeight="1" x14ac:dyDescent="0.3">
      <c r="H353" s="21"/>
      <c r="I353" s="20"/>
      <c r="J353" s="20"/>
      <c r="K353" s="20"/>
    </row>
    <row r="354" spans="8:11" ht="30" customHeight="1" x14ac:dyDescent="0.3">
      <c r="H354" s="21"/>
      <c r="I354" s="20"/>
      <c r="J354" s="20"/>
      <c r="K354" s="20"/>
    </row>
    <row r="355" spans="8:11" ht="30" customHeight="1" x14ac:dyDescent="0.3">
      <c r="H355" s="21"/>
      <c r="I355" s="20"/>
      <c r="J355" s="20"/>
      <c r="K355" s="20"/>
    </row>
    <row r="356" spans="8:11" ht="30" customHeight="1" x14ac:dyDescent="0.3">
      <c r="H356" s="21"/>
      <c r="I356" s="20"/>
      <c r="J356" s="20"/>
      <c r="K356" s="20"/>
    </row>
    <row r="357" spans="8:11" ht="30" customHeight="1" x14ac:dyDescent="0.3">
      <c r="H357" s="21"/>
      <c r="I357" s="20"/>
      <c r="J357" s="20"/>
      <c r="K357" s="20"/>
    </row>
    <row r="358" spans="8:11" ht="30" customHeight="1" x14ac:dyDescent="0.3">
      <c r="H358" s="21"/>
      <c r="I358" s="20"/>
      <c r="J358" s="20"/>
      <c r="K358" s="20"/>
    </row>
    <row r="359" spans="8:11" ht="30" customHeight="1" x14ac:dyDescent="0.3">
      <c r="H359" s="21"/>
      <c r="I359" s="20"/>
      <c r="J359" s="20"/>
      <c r="K359" s="20"/>
    </row>
    <row r="360" spans="8:11" ht="30" customHeight="1" x14ac:dyDescent="0.3">
      <c r="H360" s="21"/>
      <c r="I360" s="20"/>
      <c r="J360" s="20"/>
      <c r="K360" s="20"/>
    </row>
    <row r="361" spans="8:11" ht="30" customHeight="1" x14ac:dyDescent="0.3">
      <c r="H361" s="21"/>
      <c r="I361" s="20"/>
      <c r="J361" s="20"/>
      <c r="K361" s="20"/>
    </row>
    <row r="362" spans="8:11" ht="30" customHeight="1" x14ac:dyDescent="0.3">
      <c r="H362" s="21"/>
      <c r="I362" s="20"/>
      <c r="J362" s="20"/>
      <c r="K362" s="20"/>
    </row>
    <row r="363" spans="8:11" ht="30" customHeight="1" x14ac:dyDescent="0.3">
      <c r="H363" s="21"/>
      <c r="I363" s="20"/>
      <c r="J363" s="20"/>
      <c r="K363" s="20"/>
    </row>
    <row r="364" spans="8:11" ht="30" customHeight="1" x14ac:dyDescent="0.3">
      <c r="H364" s="21"/>
      <c r="I364" s="20"/>
      <c r="J364" s="20"/>
      <c r="K364" s="20"/>
    </row>
    <row r="365" spans="8:11" ht="30" customHeight="1" x14ac:dyDescent="0.3">
      <c r="H365" s="21"/>
      <c r="I365" s="20"/>
      <c r="J365" s="20"/>
      <c r="K365" s="20"/>
    </row>
    <row r="366" spans="8:11" ht="30" customHeight="1" x14ac:dyDescent="0.3">
      <c r="H366" s="21"/>
      <c r="I366" s="20"/>
      <c r="J366" s="20"/>
      <c r="K366" s="20"/>
    </row>
    <row r="367" spans="8:11" ht="30" customHeight="1" x14ac:dyDescent="0.3">
      <c r="H367" s="21"/>
      <c r="I367" s="20"/>
      <c r="J367" s="20"/>
      <c r="K367" s="20"/>
    </row>
    <row r="368" spans="8:11" ht="30" customHeight="1" x14ac:dyDescent="0.3">
      <c r="H368" s="21"/>
      <c r="I368" s="20"/>
      <c r="J368" s="20"/>
      <c r="K368" s="20"/>
    </row>
    <row r="369" spans="8:11" ht="30" customHeight="1" x14ac:dyDescent="0.3">
      <c r="H369" s="21"/>
      <c r="I369" s="20"/>
      <c r="J369" s="20"/>
      <c r="K369" s="20"/>
    </row>
    <row r="370" spans="8:11" ht="30" customHeight="1" x14ac:dyDescent="0.3">
      <c r="H370" s="21"/>
      <c r="I370" s="20"/>
      <c r="J370" s="20"/>
      <c r="K370" s="20"/>
    </row>
    <row r="371" spans="8:11" ht="30" customHeight="1" x14ac:dyDescent="0.3">
      <c r="H371" s="21"/>
      <c r="I371" s="20"/>
      <c r="J371" s="20"/>
      <c r="K371" s="20"/>
    </row>
    <row r="372" spans="8:11" ht="30" customHeight="1" x14ac:dyDescent="0.3">
      <c r="H372" s="21"/>
      <c r="I372" s="20"/>
      <c r="J372" s="20"/>
      <c r="K372" s="20"/>
    </row>
    <row r="373" spans="8:11" ht="30" customHeight="1" x14ac:dyDescent="0.3">
      <c r="H373" s="21"/>
      <c r="I373" s="20"/>
      <c r="J373" s="20"/>
      <c r="K373" s="20"/>
    </row>
    <row r="374" spans="8:11" ht="30" customHeight="1" x14ac:dyDescent="0.3">
      <c r="H374" s="21"/>
      <c r="I374" s="20"/>
      <c r="J374" s="20"/>
      <c r="K374" s="20"/>
    </row>
    <row r="375" spans="8:11" ht="30" customHeight="1" x14ac:dyDescent="0.3">
      <c r="H375" s="21"/>
      <c r="I375" s="20"/>
      <c r="J375" s="20"/>
      <c r="K375" s="20"/>
    </row>
    <row r="376" spans="8:11" ht="30" customHeight="1" x14ac:dyDescent="0.3">
      <c r="H376" s="21"/>
      <c r="I376" s="20"/>
      <c r="J376" s="20"/>
      <c r="K376" s="20"/>
    </row>
    <row r="377" spans="8:11" ht="30" customHeight="1" x14ac:dyDescent="0.3">
      <c r="H377" s="21"/>
      <c r="I377" s="20"/>
      <c r="J377" s="20"/>
      <c r="K377" s="20"/>
    </row>
    <row r="378" spans="8:11" ht="30" customHeight="1" x14ac:dyDescent="0.3">
      <c r="H378" s="21"/>
      <c r="I378" s="20"/>
      <c r="J378" s="20"/>
      <c r="K378" s="20"/>
    </row>
    <row r="379" spans="8:11" ht="30" customHeight="1" x14ac:dyDescent="0.3">
      <c r="H379" s="21"/>
      <c r="I379" s="20"/>
      <c r="J379" s="20"/>
      <c r="K379" s="20"/>
    </row>
    <row r="380" spans="8:11" ht="30" customHeight="1" x14ac:dyDescent="0.3">
      <c r="H380" s="21"/>
      <c r="I380" s="20"/>
      <c r="J380" s="20"/>
      <c r="K380" s="20"/>
    </row>
    <row r="381" spans="8:11" ht="30" customHeight="1" x14ac:dyDescent="0.3">
      <c r="H381" s="21"/>
      <c r="I381" s="20"/>
      <c r="J381" s="20"/>
      <c r="K381" s="20"/>
    </row>
    <row r="382" spans="8:11" ht="30" customHeight="1" x14ac:dyDescent="0.3">
      <c r="H382" s="21"/>
      <c r="I382" s="20"/>
      <c r="J382" s="20"/>
      <c r="K382" s="20"/>
    </row>
    <row r="383" spans="8:11" ht="30" customHeight="1" x14ac:dyDescent="0.3">
      <c r="H383" s="21"/>
      <c r="I383" s="20"/>
      <c r="J383" s="20"/>
      <c r="K383" s="20"/>
    </row>
    <row r="384" spans="8:11" ht="30" customHeight="1" x14ac:dyDescent="0.3">
      <c r="H384" s="21"/>
      <c r="I384" s="20"/>
      <c r="J384" s="20"/>
      <c r="K384" s="20"/>
    </row>
    <row r="385" spans="8:11" ht="30" customHeight="1" x14ac:dyDescent="0.3">
      <c r="H385" s="21"/>
      <c r="I385" s="20"/>
      <c r="J385" s="20"/>
      <c r="K385" s="20"/>
    </row>
    <row r="386" spans="8:11" ht="30" customHeight="1" x14ac:dyDescent="0.3">
      <c r="H386" s="21"/>
      <c r="I386" s="20"/>
      <c r="J386" s="20"/>
      <c r="K386" s="20"/>
    </row>
    <row r="387" spans="8:11" ht="30" customHeight="1" x14ac:dyDescent="0.3">
      <c r="H387" s="21"/>
      <c r="I387" s="20"/>
      <c r="J387" s="20"/>
      <c r="K387" s="20"/>
    </row>
    <row r="388" spans="8:11" ht="30" customHeight="1" x14ac:dyDescent="0.3">
      <c r="H388" s="21"/>
      <c r="I388" s="20"/>
      <c r="J388" s="20"/>
      <c r="K388" s="20"/>
    </row>
    <row r="389" spans="8:11" ht="30" customHeight="1" x14ac:dyDescent="0.3">
      <c r="H389" s="21"/>
      <c r="I389" s="20"/>
      <c r="J389" s="20"/>
      <c r="K389" s="20"/>
    </row>
    <row r="390" spans="8:11" ht="30" customHeight="1" x14ac:dyDescent="0.3">
      <c r="H390" s="21"/>
      <c r="I390" s="20"/>
      <c r="J390" s="20"/>
      <c r="K390" s="20"/>
    </row>
    <row r="391" spans="8:11" ht="30" customHeight="1" x14ac:dyDescent="0.3">
      <c r="H391" s="21"/>
      <c r="I391" s="20"/>
      <c r="J391" s="20"/>
      <c r="K391" s="20"/>
    </row>
    <row r="392" spans="8:11" ht="30" customHeight="1" x14ac:dyDescent="0.3">
      <c r="H392" s="21"/>
      <c r="I392" s="20"/>
      <c r="J392" s="20"/>
      <c r="K392" s="20"/>
    </row>
    <row r="393" spans="8:11" ht="30" customHeight="1" x14ac:dyDescent="0.3">
      <c r="H393" s="21"/>
      <c r="I393" s="20"/>
      <c r="J393" s="20"/>
      <c r="K393" s="20"/>
    </row>
    <row r="394" spans="8:11" ht="30" customHeight="1" x14ac:dyDescent="0.3">
      <c r="H394" s="21"/>
      <c r="I394" s="20"/>
      <c r="J394" s="20"/>
      <c r="K394" s="20"/>
    </row>
    <row r="395" spans="8:11" ht="30" customHeight="1" x14ac:dyDescent="0.3">
      <c r="H395" s="21"/>
      <c r="I395" s="20"/>
      <c r="J395" s="20"/>
      <c r="K395" s="20"/>
    </row>
    <row r="396" spans="8:11" ht="30" customHeight="1" x14ac:dyDescent="0.3">
      <c r="H396" s="21"/>
      <c r="I396" s="20"/>
      <c r="J396" s="20"/>
      <c r="K396" s="20"/>
    </row>
    <row r="397" spans="8:11" ht="30" customHeight="1" x14ac:dyDescent="0.3">
      <c r="H397" s="21"/>
      <c r="I397" s="20"/>
      <c r="J397" s="20"/>
      <c r="K397" s="20"/>
    </row>
    <row r="398" spans="8:11" ht="30" customHeight="1" x14ac:dyDescent="0.3">
      <c r="H398" s="21"/>
      <c r="I398" s="20"/>
      <c r="J398" s="20"/>
      <c r="K398" s="20"/>
    </row>
    <row r="399" spans="8:11" ht="30" customHeight="1" x14ac:dyDescent="0.3">
      <c r="H399" s="21"/>
      <c r="I399" s="20"/>
      <c r="J399" s="20"/>
      <c r="K399" s="20"/>
    </row>
    <row r="400" spans="8:11" ht="30" customHeight="1" x14ac:dyDescent="0.3">
      <c r="H400" s="21"/>
      <c r="I400" s="20"/>
      <c r="J400" s="20"/>
      <c r="K400" s="20"/>
    </row>
    <row r="401" spans="8:11" ht="30" customHeight="1" x14ac:dyDescent="0.3">
      <c r="H401" s="21"/>
      <c r="I401" s="20"/>
      <c r="J401" s="20"/>
      <c r="K401" s="20"/>
    </row>
    <row r="402" spans="8:11" ht="30" customHeight="1" x14ac:dyDescent="0.3">
      <c r="H402" s="21"/>
      <c r="I402" s="20"/>
      <c r="J402" s="20"/>
      <c r="K402" s="20"/>
    </row>
  </sheetData>
  <autoFilter ref="E1:E24" xr:uid="{00000000-0001-0000-0000-000000000000}"/>
  <mergeCells count="13">
    <mergeCell ref="B1:B2"/>
    <mergeCell ref="A24:G24"/>
    <mergeCell ref="L1:L2"/>
    <mergeCell ref="A4:G4"/>
    <mergeCell ref="K1:K2"/>
    <mergeCell ref="F1:G1"/>
    <mergeCell ref="H1:H2"/>
    <mergeCell ref="I1:I2"/>
    <mergeCell ref="J1:J2"/>
    <mergeCell ref="A1:A2"/>
    <mergeCell ref="C1:C2"/>
    <mergeCell ref="D1:D2"/>
    <mergeCell ref="E1:E2"/>
  </mergeCells>
  <phoneticPr fontId="2" type="noConversion"/>
  <conditionalFormatting sqref="A12:D12">
    <cfRule type="containsText" dxfId="25" priority="93" operator="containsText" text="Kha Wei Chan">
      <formula>NOT(ISERROR(SEARCH("Kha Wei Chan",A12)))</formula>
    </cfRule>
    <cfRule type="timePeriod" dxfId="24" priority="94" timePeriod="thisMonth">
      <formula>AND(MONTH(A12)=MONTH(TODAY()),YEAR(A12)=YEAR(TODAY()))</formula>
    </cfRule>
    <cfRule type="timePeriod" dxfId="23" priority="95" timePeriod="lastMonth">
      <formula>AND(MONTH(A12)=MONTH(EDATE(TODAY(),0-1)),YEAR(A12)=YEAR(EDATE(TODAY(),0-1)))</formula>
    </cfRule>
  </conditionalFormatting>
  <conditionalFormatting sqref="A15:D15">
    <cfRule type="containsText" dxfId="22" priority="87" operator="containsText" text="Kha Wei Chan">
      <formula>NOT(ISERROR(SEARCH("Kha Wei Chan",A15)))</formula>
    </cfRule>
    <cfRule type="timePeriod" dxfId="21" priority="88" timePeriod="thisMonth">
      <formula>AND(MONTH(A15)=MONTH(TODAY()),YEAR(A15)=YEAR(TODAY()))</formula>
    </cfRule>
    <cfRule type="timePeriod" dxfId="20" priority="89" timePeriod="lastMonth">
      <formula>AND(MONTH(A15)=MONTH(EDATE(TODAY(),0-1)),YEAR(A15)=YEAR(EDATE(TODAY(),0-1)))</formula>
    </cfRule>
  </conditionalFormatting>
  <conditionalFormatting sqref="A25:D25">
    <cfRule type="containsText" dxfId="19" priority="11" operator="containsText" text="Kha Wei Chan">
      <formula>NOT(ISERROR(SEARCH("Kha Wei Chan",A25)))</formula>
    </cfRule>
    <cfRule type="timePeriod" dxfId="18" priority="12" timePeriod="thisMonth">
      <formula>AND(MONTH(A25)=MONTH(TODAY()),YEAR(A25)=YEAR(TODAY()))</formula>
    </cfRule>
  </conditionalFormatting>
  <conditionalFormatting sqref="A27:D27">
    <cfRule type="containsText" dxfId="17" priority="9" operator="containsText" text="Kha Wei Chan">
      <formula>NOT(ISERROR(SEARCH("Kha Wei Chan",A27)))</formula>
    </cfRule>
    <cfRule type="timePeriod" dxfId="16" priority="10" timePeriod="thisMonth">
      <formula>AND(MONTH(A27)=MONTH(TODAY()),YEAR(A27)=YEAR(TODAY()))</formula>
    </cfRule>
  </conditionalFormatting>
  <conditionalFormatting sqref="A29:D29">
    <cfRule type="containsText" dxfId="15" priority="7" operator="containsText" text="Kha Wei Chan">
      <formula>NOT(ISERROR(SEARCH("Kha Wei Chan",A29)))</formula>
    </cfRule>
    <cfRule type="timePeriod" dxfId="14" priority="8" timePeriod="thisMonth">
      <formula>AND(MONTH(A29)=MONTH(TODAY()),YEAR(A29)=YEAR(TODAY()))</formula>
    </cfRule>
  </conditionalFormatting>
  <conditionalFormatting sqref="A32:D32">
    <cfRule type="containsText" dxfId="13" priority="5" operator="containsText" text="Kha Wei Chan">
      <formula>NOT(ISERROR(SEARCH("Kha Wei Chan",A32)))</formula>
    </cfRule>
    <cfRule type="timePeriod" dxfId="12" priority="6" timePeriod="thisMonth">
      <formula>AND(MONTH(A32)=MONTH(TODAY()),YEAR(A32)=YEAR(TODAY()))</formula>
    </cfRule>
  </conditionalFormatting>
  <conditionalFormatting sqref="A34:D34">
    <cfRule type="containsText" dxfId="11" priority="3" operator="containsText" text="Kha Wei Chan">
      <formula>NOT(ISERROR(SEARCH("Kha Wei Chan",A34)))</formula>
    </cfRule>
    <cfRule type="timePeriod" dxfId="10" priority="4" timePeriod="thisMonth">
      <formula>AND(MONTH(A34)=MONTH(TODAY()),YEAR(A34)=YEAR(TODAY()))</formula>
    </cfRule>
  </conditionalFormatting>
  <conditionalFormatting sqref="A38:D38">
    <cfRule type="containsText" dxfId="9" priority="1" operator="containsText" text="Kha Wei Chan">
      <formula>NOT(ISERROR(SEARCH("Kha Wei Chan",A38)))</formula>
    </cfRule>
    <cfRule type="timePeriod" dxfId="8" priority="2" timePeriod="thisMonth">
      <formula>AND(MONTH(A38)=MONTH(TODAY()),YEAR(A38)=YEAR(TODAY()))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F428-A4CB-4379-B153-1B2B724E81AF}">
  <dimension ref="A1:K1831"/>
  <sheetViews>
    <sheetView zoomScale="92" zoomScaleNormal="92" workbookViewId="0">
      <pane ySplit="2" topLeftCell="A3" activePane="bottomLeft" state="frozen"/>
      <selection pane="bottomLeft" activeCell="J9" sqref="J9"/>
    </sheetView>
  </sheetViews>
  <sheetFormatPr defaultColWidth="8.77734375" defaultRowHeight="30" customHeight="1" x14ac:dyDescent="0.3"/>
  <cols>
    <col min="1" max="1" width="14" style="4" customWidth="1"/>
    <col min="2" max="2" width="13.88671875" style="4" customWidth="1"/>
    <col min="3" max="3" width="15.88671875" style="4" customWidth="1"/>
    <col min="4" max="4" width="11.21875" style="11" customWidth="1"/>
    <col min="5" max="5" width="48.6640625" style="30" customWidth="1"/>
    <col min="6" max="7" width="8.88671875" style="4" bestFit="1" customWidth="1"/>
    <col min="8" max="8" width="17.33203125" style="15" customWidth="1"/>
    <col min="9" max="9" width="18.109375" style="4" customWidth="1"/>
    <col min="10" max="10" width="16.77734375" style="4" customWidth="1"/>
    <col min="11" max="11" width="17.5546875" style="19" customWidth="1"/>
    <col min="12" max="12" width="11.21875" style="4" bestFit="1" customWidth="1"/>
    <col min="13" max="13" width="12" style="4" bestFit="1" customWidth="1"/>
    <col min="14" max="14" width="9" style="4" bestFit="1" customWidth="1"/>
    <col min="15" max="16384" width="8.77734375" style="4"/>
  </cols>
  <sheetData>
    <row r="1" spans="1:11" ht="30" customHeight="1" x14ac:dyDescent="0.3">
      <c r="A1" s="62" t="s">
        <v>0</v>
      </c>
      <c r="B1" s="56" t="s">
        <v>12</v>
      </c>
      <c r="C1" s="64" t="s">
        <v>1</v>
      </c>
      <c r="D1" s="65" t="s">
        <v>2</v>
      </c>
      <c r="E1" s="66" t="s">
        <v>3</v>
      </c>
      <c r="F1" s="62" t="s">
        <v>4</v>
      </c>
      <c r="G1" s="62"/>
      <c r="H1" s="63" t="s">
        <v>7</v>
      </c>
      <c r="I1" s="62" t="s">
        <v>8</v>
      </c>
      <c r="J1" s="62" t="s">
        <v>9</v>
      </c>
      <c r="K1" s="61" t="s">
        <v>10</v>
      </c>
    </row>
    <row r="2" spans="1:11" ht="30" customHeight="1" x14ac:dyDescent="0.3">
      <c r="A2" s="62"/>
      <c r="B2" s="57"/>
      <c r="C2" s="64"/>
      <c r="D2" s="65"/>
      <c r="E2" s="66"/>
      <c r="F2" s="26" t="s">
        <v>6</v>
      </c>
      <c r="G2" s="26" t="s">
        <v>5</v>
      </c>
      <c r="H2" s="63"/>
      <c r="I2" s="62"/>
      <c r="J2" s="62"/>
      <c r="K2" s="61"/>
    </row>
    <row r="3" spans="1:11" ht="30" customHeight="1" x14ac:dyDescent="0.3">
      <c r="A3" s="10" t="s">
        <v>84</v>
      </c>
      <c r="B3" s="10" t="s">
        <v>91</v>
      </c>
      <c r="C3" s="10" t="s">
        <v>92</v>
      </c>
      <c r="D3" s="8" t="s">
        <v>93</v>
      </c>
      <c r="E3" s="27" t="s">
        <v>94</v>
      </c>
      <c r="F3" s="5"/>
      <c r="G3" s="5">
        <v>50</v>
      </c>
      <c r="H3" s="7">
        <v>1320</v>
      </c>
      <c r="I3" s="29">
        <f>H3*G3</f>
        <v>66000</v>
      </c>
      <c r="J3" s="29">
        <f>I3*5%</f>
        <v>3300</v>
      </c>
      <c r="K3" s="18">
        <f>I3+J3</f>
        <v>69300</v>
      </c>
    </row>
    <row r="4" spans="1:11" ht="30" customHeight="1" thickBot="1" x14ac:dyDescent="0.35">
      <c r="A4" s="51" t="s">
        <v>11</v>
      </c>
      <c r="B4" s="51"/>
      <c r="C4" s="51"/>
      <c r="D4" s="51"/>
      <c r="E4" s="51"/>
      <c r="F4" s="51"/>
      <c r="G4" s="51"/>
      <c r="H4" s="53">
        <v>0</v>
      </c>
      <c r="I4" s="32">
        <f>SUM(I3:I3)</f>
        <v>66000</v>
      </c>
      <c r="J4" s="32">
        <f>SUM(J3:J3)</f>
        <v>3300</v>
      </c>
      <c r="K4" s="28">
        <f>I4+J4</f>
        <v>69300</v>
      </c>
    </row>
    <row r="5" spans="1:11" ht="30" customHeight="1" thickTop="1" x14ac:dyDescent="0.3">
      <c r="A5" s="5" t="s">
        <v>95</v>
      </c>
      <c r="B5" s="5" t="s">
        <v>91</v>
      </c>
      <c r="C5" s="5" t="s">
        <v>92</v>
      </c>
      <c r="D5" s="6" t="s">
        <v>96</v>
      </c>
      <c r="E5" s="27" t="s">
        <v>98</v>
      </c>
      <c r="F5" s="5"/>
      <c r="G5" s="5">
        <v>30</v>
      </c>
      <c r="H5" s="7">
        <v>3280</v>
      </c>
      <c r="I5" s="13">
        <f>H5*G5</f>
        <v>98400</v>
      </c>
      <c r="J5" s="13"/>
      <c r="K5" s="13">
        <f>H5*G5</f>
        <v>98400</v>
      </c>
    </row>
    <row r="6" spans="1:11" ht="30" customHeight="1" x14ac:dyDescent="0.3">
      <c r="A6" s="5"/>
      <c r="B6" s="5"/>
      <c r="C6" s="5"/>
      <c r="D6" s="6"/>
      <c r="E6" s="27" t="s">
        <v>97</v>
      </c>
      <c r="F6" s="5"/>
      <c r="G6" s="5">
        <v>160</v>
      </c>
      <c r="H6" s="7">
        <v>4200</v>
      </c>
      <c r="I6" s="13">
        <f t="shared" ref="I6" si="0">H6*G6</f>
        <v>672000</v>
      </c>
      <c r="J6" s="13"/>
      <c r="K6" s="13">
        <f>H6*G6</f>
        <v>672000</v>
      </c>
    </row>
    <row r="7" spans="1:11" ht="30" customHeight="1" thickBot="1" x14ac:dyDescent="0.35">
      <c r="A7" s="58" t="s">
        <v>89</v>
      </c>
      <c r="B7" s="58"/>
      <c r="C7" s="58"/>
      <c r="D7" s="58"/>
      <c r="E7" s="58"/>
      <c r="F7" s="58"/>
      <c r="G7" s="58"/>
      <c r="H7" s="36">
        <v>0</v>
      </c>
      <c r="I7" s="28">
        <f>SUM(I5:I6)</f>
        <v>770400</v>
      </c>
      <c r="J7" s="28"/>
      <c r="K7" s="28">
        <f>SUM(K5:K6)</f>
        <v>770400</v>
      </c>
    </row>
    <row r="8" spans="1:11" ht="30" customHeight="1" thickTop="1" x14ac:dyDescent="0.3">
      <c r="A8" s="5" t="s">
        <v>84</v>
      </c>
      <c r="B8" s="5" t="s">
        <v>91</v>
      </c>
      <c r="C8" s="5" t="s">
        <v>92</v>
      </c>
      <c r="D8" s="6" t="s">
        <v>99</v>
      </c>
      <c r="E8" s="27" t="s">
        <v>87</v>
      </c>
      <c r="F8" s="5"/>
      <c r="G8" s="5">
        <v>72</v>
      </c>
      <c r="H8" s="7">
        <v>1120</v>
      </c>
      <c r="I8" s="29">
        <f>H8*G8</f>
        <v>80640</v>
      </c>
      <c r="J8" s="29">
        <f>I8*5%</f>
        <v>4032</v>
      </c>
      <c r="K8" s="18">
        <f>J8+I8</f>
        <v>84672</v>
      </c>
    </row>
    <row r="9" spans="1:11" ht="30" customHeight="1" x14ac:dyDescent="0.3">
      <c r="A9" s="5"/>
      <c r="B9" s="5"/>
      <c r="C9" s="5"/>
      <c r="D9" s="6"/>
      <c r="E9" s="27" t="s">
        <v>100</v>
      </c>
      <c r="F9" s="5"/>
      <c r="G9" s="5">
        <v>72</v>
      </c>
      <c r="H9" s="7">
        <v>1120</v>
      </c>
      <c r="I9" s="29">
        <f>H9*G9</f>
        <v>80640</v>
      </c>
      <c r="J9" s="29">
        <f>I9*5%</f>
        <v>4032</v>
      </c>
      <c r="K9" s="18">
        <f>J9+I9</f>
        <v>84672</v>
      </c>
    </row>
    <row r="10" spans="1:11" ht="30" customHeight="1" x14ac:dyDescent="0.3">
      <c r="A10" s="5"/>
      <c r="B10" s="5"/>
      <c r="C10" s="5"/>
      <c r="D10" s="6"/>
      <c r="E10" s="27" t="s">
        <v>101</v>
      </c>
      <c r="F10" s="5"/>
      <c r="G10" s="5">
        <v>576</v>
      </c>
      <c r="H10" s="7">
        <v>960</v>
      </c>
      <c r="I10" s="29">
        <f>H10*G10</f>
        <v>552960</v>
      </c>
      <c r="J10" s="29">
        <f>I10*5%</f>
        <v>27648</v>
      </c>
      <c r="K10" s="18">
        <f>J10+I10</f>
        <v>580608</v>
      </c>
    </row>
    <row r="11" spans="1:11" ht="30" customHeight="1" thickBot="1" x14ac:dyDescent="0.35">
      <c r="A11" s="58" t="s">
        <v>11</v>
      </c>
      <c r="B11" s="58"/>
      <c r="C11" s="58"/>
      <c r="D11" s="58"/>
      <c r="E11" s="58"/>
      <c r="F11" s="58"/>
      <c r="G11" s="58"/>
      <c r="H11" s="36">
        <v>0</v>
      </c>
      <c r="I11" s="32">
        <f>SUM(I8:I10)</f>
        <v>714240</v>
      </c>
      <c r="J11" s="32">
        <f>SUM(J8:J10)</f>
        <v>35712</v>
      </c>
      <c r="K11" s="28">
        <f>SUM(K8:K10)</f>
        <v>749952</v>
      </c>
    </row>
    <row r="12" spans="1:11" ht="30" customHeight="1" thickTop="1" x14ac:dyDescent="0.3">
      <c r="A12" s="10" t="s">
        <v>95</v>
      </c>
      <c r="B12" s="10" t="s">
        <v>85</v>
      </c>
      <c r="C12" s="10" t="s">
        <v>102</v>
      </c>
      <c r="D12" s="6" t="s">
        <v>103</v>
      </c>
      <c r="E12" s="34" t="s">
        <v>104</v>
      </c>
      <c r="F12" s="10"/>
      <c r="G12" s="10">
        <v>40</v>
      </c>
      <c r="H12" s="10">
        <v>2760</v>
      </c>
      <c r="I12" s="29">
        <f>H12*G12</f>
        <v>110400</v>
      </c>
      <c r="J12" s="18">
        <f t="shared" ref="J12:J17" si="1">I12*5%</f>
        <v>5520</v>
      </c>
      <c r="K12" s="18">
        <f t="shared" ref="K12:K15" si="2">I12+J12</f>
        <v>115920</v>
      </c>
    </row>
    <row r="13" spans="1:11" ht="30" customHeight="1" x14ac:dyDescent="0.3">
      <c r="A13" s="31"/>
      <c r="B13" s="31"/>
      <c r="C13" s="31"/>
      <c r="D13" s="31"/>
      <c r="E13" s="27" t="s">
        <v>22</v>
      </c>
      <c r="F13" s="5"/>
      <c r="G13" s="5">
        <v>120</v>
      </c>
      <c r="H13" s="5">
        <v>1940</v>
      </c>
      <c r="I13" s="29">
        <f>H13*G13</f>
        <v>232800</v>
      </c>
      <c r="J13" s="18">
        <f t="shared" si="1"/>
        <v>11640</v>
      </c>
      <c r="K13" s="18">
        <f t="shared" si="2"/>
        <v>244440</v>
      </c>
    </row>
    <row r="14" spans="1:11" ht="30" customHeight="1" x14ac:dyDescent="0.3">
      <c r="A14" s="31"/>
      <c r="B14" s="31"/>
      <c r="C14" s="31"/>
      <c r="D14" s="31"/>
      <c r="E14" s="27" t="s">
        <v>23</v>
      </c>
      <c r="F14" s="5"/>
      <c r="G14" s="5">
        <v>96</v>
      </c>
      <c r="H14" s="5">
        <v>2160</v>
      </c>
      <c r="I14" s="29">
        <f>H14*G14</f>
        <v>207360</v>
      </c>
      <c r="J14" s="18">
        <f t="shared" si="1"/>
        <v>10368</v>
      </c>
      <c r="K14" s="18">
        <f t="shared" si="2"/>
        <v>217728</v>
      </c>
    </row>
    <row r="15" spans="1:11" ht="30" customHeight="1" thickBot="1" x14ac:dyDescent="0.35">
      <c r="A15" s="55" t="s">
        <v>11</v>
      </c>
      <c r="B15" s="55"/>
      <c r="C15" s="55"/>
      <c r="D15" s="55"/>
      <c r="E15" s="55"/>
      <c r="F15" s="55"/>
      <c r="G15" s="55"/>
      <c r="H15" s="55">
        <v>0</v>
      </c>
      <c r="I15" s="32">
        <f>SUM(I12:I14)</f>
        <v>550560</v>
      </c>
      <c r="J15" s="28">
        <f t="shared" si="1"/>
        <v>27528</v>
      </c>
      <c r="K15" s="28">
        <f t="shared" si="2"/>
        <v>578088</v>
      </c>
    </row>
    <row r="16" spans="1:11" ht="30" customHeight="1" thickTop="1" x14ac:dyDescent="0.3">
      <c r="A16" s="5" t="s">
        <v>90</v>
      </c>
      <c r="B16" s="5" t="s">
        <v>92</v>
      </c>
      <c r="C16" s="5" t="s">
        <v>111</v>
      </c>
      <c r="D16" s="6" t="s">
        <v>112</v>
      </c>
      <c r="E16" s="27" t="s">
        <v>15</v>
      </c>
      <c r="F16" s="5"/>
      <c r="G16" s="5">
        <v>720</v>
      </c>
      <c r="H16" s="7">
        <v>960</v>
      </c>
      <c r="I16" s="29">
        <f>H16*G16</f>
        <v>691200</v>
      </c>
      <c r="J16" s="29">
        <f t="shared" si="1"/>
        <v>34560</v>
      </c>
      <c r="K16" s="18">
        <f>J16+I16</f>
        <v>725760</v>
      </c>
    </row>
    <row r="17" spans="1:11" ht="30" customHeight="1" x14ac:dyDescent="0.3">
      <c r="A17" s="5"/>
      <c r="B17" s="5"/>
      <c r="C17" s="5"/>
      <c r="D17" s="6"/>
      <c r="E17" s="27" t="s">
        <v>27</v>
      </c>
      <c r="F17" s="5"/>
      <c r="G17" s="5">
        <v>720</v>
      </c>
      <c r="H17" s="7">
        <v>960</v>
      </c>
      <c r="I17" s="29">
        <f>H17*G17</f>
        <v>691200</v>
      </c>
      <c r="J17" s="29">
        <f t="shared" si="1"/>
        <v>34560</v>
      </c>
      <c r="K17" s="18">
        <f>J17+I17</f>
        <v>725760</v>
      </c>
    </row>
    <row r="18" spans="1:11" ht="30" customHeight="1" x14ac:dyDescent="0.3">
      <c r="A18" s="5" t="s">
        <v>113</v>
      </c>
      <c r="B18" s="5" t="s">
        <v>114</v>
      </c>
      <c r="C18" s="5" t="s">
        <v>115</v>
      </c>
      <c r="D18" s="6" t="s">
        <v>116</v>
      </c>
      <c r="E18" s="27" t="s">
        <v>98</v>
      </c>
      <c r="F18" s="5"/>
      <c r="G18" s="5">
        <v>60</v>
      </c>
      <c r="H18" s="7">
        <v>3280</v>
      </c>
      <c r="I18" s="13">
        <f>H18*G18</f>
        <v>196800</v>
      </c>
      <c r="J18" s="13"/>
      <c r="K18" s="13">
        <f>H18*G18</f>
        <v>196800</v>
      </c>
    </row>
    <row r="19" spans="1:11" ht="30" customHeight="1" x14ac:dyDescent="0.3">
      <c r="A19" s="5"/>
      <c r="B19" s="5"/>
      <c r="C19" s="5"/>
      <c r="D19" s="6"/>
      <c r="E19" s="27" t="s">
        <v>97</v>
      </c>
      <c r="F19" s="5"/>
      <c r="G19" s="5">
        <v>20</v>
      </c>
      <c r="H19" s="7">
        <v>4200</v>
      </c>
      <c r="I19" s="13">
        <f t="shared" ref="I19" si="3">H19*G19</f>
        <v>84000</v>
      </c>
      <c r="J19" s="13"/>
      <c r="K19" s="13">
        <f>H19*G19</f>
        <v>84000</v>
      </c>
    </row>
    <row r="20" spans="1:11" ht="30" customHeight="1" thickBot="1" x14ac:dyDescent="0.35">
      <c r="A20" s="58" t="s">
        <v>89</v>
      </c>
      <c r="B20" s="58"/>
      <c r="C20" s="58"/>
      <c r="D20" s="58"/>
      <c r="E20" s="58"/>
      <c r="F20" s="58"/>
      <c r="G20" s="58"/>
      <c r="H20" s="36">
        <v>0</v>
      </c>
      <c r="I20" s="28">
        <f>SUM(I16:I19)</f>
        <v>1663200</v>
      </c>
      <c r="J20" s="28">
        <f t="shared" ref="J20:K20" si="4">SUM(J16:J19)</f>
        <v>69120</v>
      </c>
      <c r="K20" s="28">
        <f t="shared" si="4"/>
        <v>1732320</v>
      </c>
    </row>
    <row r="21" spans="1:11" ht="30" customHeight="1" thickTop="1" x14ac:dyDescent="0.3">
      <c r="A21" s="10" t="s">
        <v>113</v>
      </c>
      <c r="B21" s="10" t="s">
        <v>117</v>
      </c>
      <c r="C21" s="10" t="s">
        <v>115</v>
      </c>
      <c r="D21" s="8" t="s">
        <v>118</v>
      </c>
      <c r="E21" s="27" t="s">
        <v>105</v>
      </c>
      <c r="F21" s="10"/>
      <c r="G21" s="5">
        <v>360</v>
      </c>
      <c r="H21" s="7">
        <v>960</v>
      </c>
      <c r="I21" s="9">
        <f>H21*G21</f>
        <v>345600</v>
      </c>
      <c r="J21" s="9">
        <f>I21*5%</f>
        <v>17280</v>
      </c>
      <c r="K21" s="13">
        <f>I21+J21</f>
        <v>362880</v>
      </c>
    </row>
    <row r="22" spans="1:11" ht="30" customHeight="1" x14ac:dyDescent="0.3">
      <c r="A22" s="5"/>
      <c r="B22" s="5"/>
      <c r="C22" s="5"/>
      <c r="D22" s="6"/>
      <c r="E22" s="27" t="s">
        <v>86</v>
      </c>
      <c r="F22" s="5"/>
      <c r="G22" s="5">
        <v>144</v>
      </c>
      <c r="H22" s="7">
        <v>1120</v>
      </c>
      <c r="I22" s="29">
        <f>H22*G22</f>
        <v>161280</v>
      </c>
      <c r="J22" s="29">
        <f>I22*5%</f>
        <v>8064</v>
      </c>
      <c r="K22" s="18">
        <f t="shared" ref="K22" si="5">J22+I22</f>
        <v>169344</v>
      </c>
    </row>
    <row r="23" spans="1:11" ht="30" customHeight="1" thickBot="1" x14ac:dyDescent="0.35">
      <c r="A23" s="40"/>
      <c r="B23" s="40"/>
      <c r="C23" s="40"/>
      <c r="D23" s="41"/>
      <c r="E23" s="44" t="s">
        <v>11</v>
      </c>
      <c r="F23" s="40"/>
      <c r="G23" s="40"/>
      <c r="H23" s="37">
        <v>0</v>
      </c>
      <c r="I23" s="28">
        <f>SUM(I21:I22)</f>
        <v>506880</v>
      </c>
      <c r="J23" s="28">
        <f t="shared" ref="J23:K23" si="6">SUM(J21:J22)</f>
        <v>25344</v>
      </c>
      <c r="K23" s="28">
        <f t="shared" si="6"/>
        <v>532224</v>
      </c>
    </row>
    <row r="24" spans="1:11" ht="30" customHeight="1" thickTop="1" x14ac:dyDescent="0.3">
      <c r="A24" s="5" t="s">
        <v>113</v>
      </c>
      <c r="B24" s="5" t="s">
        <v>114</v>
      </c>
      <c r="C24" s="5" t="s">
        <v>115</v>
      </c>
      <c r="D24" s="6" t="s">
        <v>119</v>
      </c>
      <c r="E24" s="27" t="s">
        <v>19</v>
      </c>
      <c r="F24" s="5"/>
      <c r="G24" s="5">
        <v>20</v>
      </c>
      <c r="H24" s="14">
        <v>3500</v>
      </c>
      <c r="I24" s="18">
        <f>H24*G24</f>
        <v>70000</v>
      </c>
      <c r="J24" s="18"/>
      <c r="K24" s="18">
        <f t="shared" ref="K24" si="7">I24+J24</f>
        <v>70000</v>
      </c>
    </row>
    <row r="25" spans="1:11" ht="30" customHeight="1" thickBot="1" x14ac:dyDescent="0.35">
      <c r="A25" s="40"/>
      <c r="B25" s="40"/>
      <c r="C25" s="40"/>
      <c r="D25" s="41"/>
      <c r="E25" s="44" t="s">
        <v>11</v>
      </c>
      <c r="F25" s="40"/>
      <c r="G25" s="40"/>
      <c r="H25" s="37">
        <v>0</v>
      </c>
      <c r="I25" s="45">
        <f>SUM(I24:I24)</f>
        <v>70000</v>
      </c>
      <c r="J25" s="45">
        <f>SUM(J24:J24)</f>
        <v>0</v>
      </c>
      <c r="K25" s="28">
        <f>SUM(K24:K24)</f>
        <v>70000</v>
      </c>
    </row>
    <row r="26" spans="1:11" ht="30" customHeight="1" thickTop="1" x14ac:dyDescent="0.3">
      <c r="A26" s="5" t="s">
        <v>113</v>
      </c>
      <c r="B26" s="5" t="s">
        <v>114</v>
      </c>
      <c r="C26" s="5" t="s">
        <v>115</v>
      </c>
      <c r="D26" s="8" t="s">
        <v>120</v>
      </c>
      <c r="E26" s="34" t="s">
        <v>107</v>
      </c>
      <c r="F26" s="5"/>
      <c r="G26" s="5">
        <v>20</v>
      </c>
      <c r="H26" s="7">
        <v>4700</v>
      </c>
      <c r="I26" s="9">
        <f>H26*G26</f>
        <v>94000</v>
      </c>
      <c r="J26" s="9">
        <f>I26*5%</f>
        <v>4700</v>
      </c>
      <c r="K26" s="13">
        <f>I26+J26</f>
        <v>98700</v>
      </c>
    </row>
    <row r="27" spans="1:11" ht="30" customHeight="1" thickBot="1" x14ac:dyDescent="0.35">
      <c r="A27" s="40"/>
      <c r="B27" s="40"/>
      <c r="C27" s="40"/>
      <c r="D27" s="41"/>
      <c r="E27" s="44" t="s">
        <v>11</v>
      </c>
      <c r="F27" s="40"/>
      <c r="G27" s="40"/>
      <c r="H27" s="37">
        <v>0</v>
      </c>
      <c r="I27" s="28">
        <f>SUM(I26:I26)</f>
        <v>94000</v>
      </c>
      <c r="J27" s="28">
        <f>SUM(J26:J26)</f>
        <v>4700</v>
      </c>
      <c r="K27" s="28">
        <f>SUM(K26:K26)</f>
        <v>98700</v>
      </c>
    </row>
    <row r="28" spans="1:11" ht="30" customHeight="1" thickTop="1" x14ac:dyDescent="0.3">
      <c r="A28" s="10"/>
      <c r="B28" s="10" t="s">
        <v>114</v>
      </c>
      <c r="C28" s="10"/>
      <c r="D28" s="8" t="s">
        <v>121</v>
      </c>
      <c r="E28" s="34" t="s">
        <v>82</v>
      </c>
      <c r="F28" s="5"/>
      <c r="G28" s="5">
        <v>50</v>
      </c>
      <c r="H28" s="14">
        <v>0</v>
      </c>
      <c r="I28" s="18" t="s">
        <v>81</v>
      </c>
      <c r="J28" s="18"/>
      <c r="K28" s="18" t="s">
        <v>81</v>
      </c>
    </row>
    <row r="29" spans="1:11" ht="30" customHeight="1" x14ac:dyDescent="0.3">
      <c r="A29" s="5"/>
      <c r="B29" s="5"/>
      <c r="C29" s="5"/>
      <c r="D29" s="6"/>
      <c r="E29" s="34" t="s">
        <v>83</v>
      </c>
      <c r="F29" s="5"/>
      <c r="G29" s="5">
        <v>50</v>
      </c>
      <c r="H29" s="7">
        <v>0</v>
      </c>
      <c r="I29" s="13" t="s">
        <v>81</v>
      </c>
      <c r="J29" s="13"/>
      <c r="K29" s="13" t="s">
        <v>81</v>
      </c>
    </row>
    <row r="30" spans="1:11" ht="30" customHeight="1" thickBot="1" x14ac:dyDescent="0.35">
      <c r="A30" s="40"/>
      <c r="B30" s="40"/>
      <c r="C30" s="40"/>
      <c r="D30" s="41"/>
      <c r="E30" s="44" t="s">
        <v>11</v>
      </c>
      <c r="F30" s="40"/>
      <c r="G30" s="40"/>
      <c r="H30" s="37">
        <v>0</v>
      </c>
      <c r="I30" s="35"/>
      <c r="J30" s="35"/>
      <c r="K30" s="35"/>
    </row>
    <row r="31" spans="1:11" ht="30" customHeight="1" thickTop="1" x14ac:dyDescent="0.3">
      <c r="A31" s="5" t="s">
        <v>122</v>
      </c>
      <c r="B31" s="5" t="s">
        <v>126</v>
      </c>
      <c r="C31" s="5" t="s">
        <v>127</v>
      </c>
      <c r="D31" s="6" t="s">
        <v>128</v>
      </c>
      <c r="E31" s="34" t="s">
        <v>104</v>
      </c>
      <c r="F31" s="10"/>
      <c r="G31" s="5">
        <v>60</v>
      </c>
      <c r="H31" s="7">
        <v>2760</v>
      </c>
      <c r="I31" s="29">
        <v>828000</v>
      </c>
      <c r="J31" s="29">
        <f>I31*5%</f>
        <v>41400</v>
      </c>
      <c r="K31" s="18">
        <f>J31+I31</f>
        <v>869400</v>
      </c>
    </row>
    <row r="32" spans="1:11" ht="30" customHeight="1" x14ac:dyDescent="0.3">
      <c r="A32" s="5"/>
      <c r="B32" s="5"/>
      <c r="C32" s="5"/>
      <c r="D32" s="6"/>
      <c r="E32" s="27" t="s">
        <v>88</v>
      </c>
      <c r="F32" s="5"/>
      <c r="G32" s="5">
        <v>20</v>
      </c>
      <c r="H32" s="7">
        <v>7000</v>
      </c>
      <c r="I32" s="29">
        <f t="shared" ref="I32:I35" si="8">H32*G32</f>
        <v>140000</v>
      </c>
      <c r="J32" s="29">
        <f t="shared" ref="J32:J35" si="9">I32*5%</f>
        <v>7000</v>
      </c>
      <c r="K32" s="18">
        <f>I32+J32</f>
        <v>147000</v>
      </c>
    </row>
    <row r="33" spans="1:11" ht="30" customHeight="1" x14ac:dyDescent="0.3">
      <c r="A33" s="5"/>
      <c r="B33" s="5"/>
      <c r="C33" s="5"/>
      <c r="D33" s="6"/>
      <c r="E33" s="27" t="s">
        <v>109</v>
      </c>
      <c r="F33" s="5"/>
      <c r="G33" s="5">
        <v>30</v>
      </c>
      <c r="H33" s="7">
        <v>4700</v>
      </c>
      <c r="I33" s="29">
        <f t="shared" si="8"/>
        <v>141000</v>
      </c>
      <c r="J33" s="29">
        <f t="shared" si="9"/>
        <v>7050</v>
      </c>
      <c r="K33" s="18">
        <f t="shared" ref="K33:K35" si="10">J33+I33</f>
        <v>148050</v>
      </c>
    </row>
    <row r="34" spans="1:11" ht="30" customHeight="1" x14ac:dyDescent="0.3">
      <c r="A34" s="5"/>
      <c r="B34" s="5"/>
      <c r="C34" s="5"/>
      <c r="D34" s="6"/>
      <c r="E34" s="27" t="s">
        <v>106</v>
      </c>
      <c r="F34" s="5"/>
      <c r="G34" s="5">
        <v>275</v>
      </c>
      <c r="H34" s="7">
        <v>1320</v>
      </c>
      <c r="I34" s="29">
        <f t="shared" si="8"/>
        <v>363000</v>
      </c>
      <c r="J34" s="29">
        <f t="shared" si="9"/>
        <v>18150</v>
      </c>
      <c r="K34" s="18">
        <f t="shared" si="10"/>
        <v>381150</v>
      </c>
    </row>
    <row r="35" spans="1:11" ht="30" customHeight="1" x14ac:dyDescent="0.3">
      <c r="A35" s="5"/>
      <c r="B35" s="5"/>
      <c r="C35" s="5"/>
      <c r="D35" s="6"/>
      <c r="E35" s="27" t="s">
        <v>110</v>
      </c>
      <c r="F35" s="5"/>
      <c r="G35" s="5">
        <v>24</v>
      </c>
      <c r="H35" s="7">
        <v>2160</v>
      </c>
      <c r="I35" s="29">
        <f t="shared" si="8"/>
        <v>51840</v>
      </c>
      <c r="J35" s="29">
        <f t="shared" si="9"/>
        <v>2592</v>
      </c>
      <c r="K35" s="18">
        <f t="shared" si="10"/>
        <v>54432</v>
      </c>
    </row>
    <row r="36" spans="1:11" ht="30" customHeight="1" thickBot="1" x14ac:dyDescent="0.35">
      <c r="A36" s="40"/>
      <c r="B36" s="40"/>
      <c r="C36" s="40"/>
      <c r="D36" s="41"/>
      <c r="E36" s="44" t="s">
        <v>11</v>
      </c>
      <c r="F36" s="40"/>
      <c r="G36" s="40"/>
      <c r="H36" s="37">
        <v>0</v>
      </c>
      <c r="I36" s="46">
        <f>SUM(I31:I35)</f>
        <v>1523840</v>
      </c>
      <c r="J36" s="46">
        <f t="shared" ref="J36:K36" si="11">SUM(J31:J35)</f>
        <v>76192</v>
      </c>
      <c r="K36" s="46">
        <f t="shared" si="11"/>
        <v>1600032</v>
      </c>
    </row>
    <row r="37" spans="1:11" ht="30" customHeight="1" thickTop="1" x14ac:dyDescent="0.3">
      <c r="A37" s="5" t="s">
        <v>122</v>
      </c>
      <c r="B37" s="5" t="s">
        <v>126</v>
      </c>
      <c r="C37" s="5" t="s">
        <v>127</v>
      </c>
      <c r="D37" s="6" t="s">
        <v>129</v>
      </c>
      <c r="E37" s="27" t="s">
        <v>19</v>
      </c>
      <c r="F37" s="5"/>
      <c r="G37" s="5">
        <v>50</v>
      </c>
      <c r="H37" s="14">
        <v>3400</v>
      </c>
      <c r="I37" s="18">
        <f t="shared" ref="I37:I39" si="12">H37*G37</f>
        <v>170000</v>
      </c>
      <c r="J37" s="18"/>
      <c r="K37" s="38">
        <f t="shared" ref="K37:K39" si="13">I37+J37</f>
        <v>170000</v>
      </c>
    </row>
    <row r="38" spans="1:11" ht="30" customHeight="1" x14ac:dyDescent="0.3">
      <c r="A38" s="5"/>
      <c r="B38" s="5"/>
      <c r="C38" s="5"/>
      <c r="D38" s="6"/>
      <c r="E38" s="27" t="s">
        <v>20</v>
      </c>
      <c r="F38" s="5"/>
      <c r="G38" s="5">
        <v>10</v>
      </c>
      <c r="H38" s="7">
        <v>3500</v>
      </c>
      <c r="I38" s="18">
        <f t="shared" si="12"/>
        <v>35000</v>
      </c>
      <c r="J38" s="13"/>
      <c r="K38" s="18">
        <f t="shared" si="13"/>
        <v>35000</v>
      </c>
    </row>
    <row r="39" spans="1:11" ht="30" customHeight="1" x14ac:dyDescent="0.3">
      <c r="A39" s="5"/>
      <c r="B39" s="5"/>
      <c r="C39" s="5"/>
      <c r="D39" s="6"/>
      <c r="E39" s="27" t="s">
        <v>130</v>
      </c>
      <c r="F39" s="5"/>
      <c r="G39" s="5">
        <v>10</v>
      </c>
      <c r="H39" s="7">
        <v>3500</v>
      </c>
      <c r="I39" s="18">
        <f t="shared" si="12"/>
        <v>35000</v>
      </c>
      <c r="J39" s="13"/>
      <c r="K39" s="18">
        <f t="shared" si="13"/>
        <v>35000</v>
      </c>
    </row>
    <row r="40" spans="1:11" ht="30" customHeight="1" thickBot="1" x14ac:dyDescent="0.35">
      <c r="A40" s="40"/>
      <c r="B40" s="40"/>
      <c r="C40" s="40"/>
      <c r="D40" s="41"/>
      <c r="E40" s="44" t="s">
        <v>11</v>
      </c>
      <c r="F40" s="40"/>
      <c r="G40" s="40"/>
      <c r="H40" s="37">
        <v>0</v>
      </c>
      <c r="I40" s="46">
        <f>SUM(I37:I39)</f>
        <v>240000</v>
      </c>
      <c r="J40" s="46">
        <f t="shared" ref="J40:K40" si="14">SUM(J37:J39)</f>
        <v>0</v>
      </c>
      <c r="K40" s="46">
        <f t="shared" si="14"/>
        <v>240000</v>
      </c>
    </row>
    <row r="41" spans="1:11" ht="30" customHeight="1" thickTop="1" x14ac:dyDescent="0.3">
      <c r="A41" s="5" t="s">
        <v>131</v>
      </c>
      <c r="B41" s="5" t="s">
        <v>133</v>
      </c>
      <c r="C41" s="5" t="s">
        <v>134</v>
      </c>
      <c r="D41" s="6" t="s">
        <v>136</v>
      </c>
      <c r="E41" s="30" t="s">
        <v>41</v>
      </c>
      <c r="F41" s="10"/>
      <c r="G41" s="5">
        <v>120</v>
      </c>
      <c r="H41" s="7">
        <v>3700</v>
      </c>
      <c r="I41" s="13">
        <f>H41*G41</f>
        <v>444000</v>
      </c>
      <c r="J41" s="13"/>
      <c r="K41" s="13">
        <f>H41*G41</f>
        <v>444000</v>
      </c>
    </row>
    <row r="42" spans="1:11" ht="30" customHeight="1" thickBot="1" x14ac:dyDescent="0.35">
      <c r="A42" s="40"/>
      <c r="B42" s="40"/>
      <c r="C42" s="40"/>
      <c r="D42" s="41"/>
      <c r="E42" s="44" t="s">
        <v>11</v>
      </c>
      <c r="F42" s="40"/>
      <c r="G42" s="40"/>
      <c r="H42" s="37">
        <v>0</v>
      </c>
      <c r="I42" s="28">
        <f>I41</f>
        <v>444000</v>
      </c>
      <c r="J42" s="28"/>
      <c r="K42" s="28">
        <f>K41</f>
        <v>444000</v>
      </c>
    </row>
    <row r="43" spans="1:11" ht="30" customHeight="1" thickTop="1" x14ac:dyDescent="0.3">
      <c r="A43" s="5" t="s">
        <v>132</v>
      </c>
      <c r="B43" s="5" t="s">
        <v>133</v>
      </c>
      <c r="C43" s="5" t="s">
        <v>134</v>
      </c>
      <c r="D43" s="6" t="s">
        <v>138</v>
      </c>
      <c r="E43" s="30" t="s">
        <v>41</v>
      </c>
      <c r="F43" s="10"/>
      <c r="G43" s="5">
        <v>84</v>
      </c>
      <c r="H43" s="7">
        <v>3700</v>
      </c>
      <c r="I43" s="13">
        <f>H43*G43</f>
        <v>310800</v>
      </c>
      <c r="J43" s="13"/>
      <c r="K43" s="13">
        <f>H43*G43</f>
        <v>310800</v>
      </c>
    </row>
    <row r="44" spans="1:11" ht="30" customHeight="1" thickBot="1" x14ac:dyDescent="0.35">
      <c r="A44" s="40"/>
      <c r="B44" s="40"/>
      <c r="C44" s="40"/>
      <c r="D44" s="41"/>
      <c r="E44" s="44" t="s">
        <v>11</v>
      </c>
      <c r="F44" s="40"/>
      <c r="G44" s="40"/>
      <c r="H44" s="37"/>
      <c r="I44" s="28">
        <f>I43</f>
        <v>310800</v>
      </c>
      <c r="J44" s="28">
        <f t="shared" ref="J44:K44" si="15">J43</f>
        <v>0</v>
      </c>
      <c r="K44" s="28">
        <f t="shared" si="15"/>
        <v>310800</v>
      </c>
    </row>
    <row r="45" spans="1:11" ht="30" customHeight="1" thickTop="1" x14ac:dyDescent="0.3">
      <c r="A45" s="42"/>
      <c r="B45" s="42"/>
      <c r="C45" s="42"/>
      <c r="D45" s="43"/>
      <c r="E45" s="48"/>
      <c r="F45" s="42"/>
      <c r="G45" s="42"/>
      <c r="H45" s="12"/>
      <c r="I45" s="42"/>
      <c r="J45" s="42"/>
      <c r="K45" s="17"/>
    </row>
    <row r="46" spans="1:11" ht="30" customHeight="1" x14ac:dyDescent="0.3">
      <c r="H46" s="21"/>
      <c r="K46" s="20"/>
    </row>
    <row r="47" spans="1:11" ht="30" customHeight="1" x14ac:dyDescent="0.3">
      <c r="H47" s="21"/>
      <c r="K47" s="20"/>
    </row>
    <row r="48" spans="1:11" ht="30" customHeight="1" x14ac:dyDescent="0.3">
      <c r="H48" s="21"/>
      <c r="K48" s="20"/>
    </row>
    <row r="49" spans="8:11" ht="30" customHeight="1" x14ac:dyDescent="0.3">
      <c r="H49" s="21"/>
      <c r="K49" s="20"/>
    </row>
    <row r="50" spans="8:11" ht="30" customHeight="1" x14ac:dyDescent="0.3">
      <c r="H50" s="21"/>
      <c r="K50" s="20"/>
    </row>
    <row r="51" spans="8:11" ht="30" customHeight="1" x14ac:dyDescent="0.3">
      <c r="H51" s="21"/>
      <c r="K51" s="20"/>
    </row>
    <row r="52" spans="8:11" ht="30" customHeight="1" x14ac:dyDescent="0.3">
      <c r="H52" s="21"/>
      <c r="K52" s="20"/>
    </row>
    <row r="53" spans="8:11" ht="30" customHeight="1" x14ac:dyDescent="0.3">
      <c r="H53" s="21"/>
      <c r="K53" s="20"/>
    </row>
    <row r="54" spans="8:11" ht="30" customHeight="1" x14ac:dyDescent="0.3">
      <c r="H54" s="21"/>
      <c r="K54" s="20"/>
    </row>
    <row r="55" spans="8:11" ht="30" customHeight="1" x14ac:dyDescent="0.3">
      <c r="H55" s="21"/>
      <c r="K55" s="20"/>
    </row>
    <row r="56" spans="8:11" ht="30" customHeight="1" x14ac:dyDescent="0.3">
      <c r="H56" s="21"/>
      <c r="K56" s="20"/>
    </row>
    <row r="57" spans="8:11" ht="30" customHeight="1" x14ac:dyDescent="0.3">
      <c r="H57" s="21"/>
      <c r="K57" s="20"/>
    </row>
    <row r="58" spans="8:11" ht="30" customHeight="1" x14ac:dyDescent="0.3">
      <c r="H58" s="21"/>
      <c r="K58" s="20"/>
    </row>
    <row r="59" spans="8:11" ht="30" customHeight="1" x14ac:dyDescent="0.3">
      <c r="H59" s="21"/>
      <c r="K59" s="20"/>
    </row>
    <row r="60" spans="8:11" ht="30" customHeight="1" x14ac:dyDescent="0.3">
      <c r="H60" s="21"/>
      <c r="K60" s="20"/>
    </row>
    <row r="61" spans="8:11" ht="30" customHeight="1" x14ac:dyDescent="0.3">
      <c r="H61" s="21"/>
      <c r="K61" s="20"/>
    </row>
    <row r="62" spans="8:11" ht="30" customHeight="1" x14ac:dyDescent="0.3">
      <c r="H62" s="21"/>
      <c r="K62" s="20"/>
    </row>
    <row r="63" spans="8:11" ht="30" customHeight="1" x14ac:dyDescent="0.3">
      <c r="H63" s="21"/>
      <c r="K63" s="20"/>
    </row>
    <row r="64" spans="8:11" ht="30" customHeight="1" x14ac:dyDescent="0.3">
      <c r="H64" s="21"/>
      <c r="K64" s="20"/>
    </row>
    <row r="65" spans="8:11" ht="30" customHeight="1" x14ac:dyDescent="0.3">
      <c r="H65" s="21"/>
      <c r="K65" s="20"/>
    </row>
    <row r="66" spans="8:11" ht="30" customHeight="1" x14ac:dyDescent="0.3">
      <c r="H66" s="21"/>
      <c r="K66" s="20"/>
    </row>
    <row r="67" spans="8:11" ht="30" customHeight="1" x14ac:dyDescent="0.3">
      <c r="H67" s="21"/>
      <c r="K67" s="20"/>
    </row>
    <row r="68" spans="8:11" ht="30" customHeight="1" x14ac:dyDescent="0.3">
      <c r="H68" s="21"/>
      <c r="K68" s="20"/>
    </row>
    <row r="69" spans="8:11" ht="30" customHeight="1" x14ac:dyDescent="0.3">
      <c r="H69" s="21"/>
      <c r="K69" s="20"/>
    </row>
    <row r="70" spans="8:11" ht="30" customHeight="1" x14ac:dyDescent="0.3">
      <c r="H70" s="21"/>
      <c r="K70" s="20"/>
    </row>
    <row r="71" spans="8:11" ht="30" customHeight="1" x14ac:dyDescent="0.3">
      <c r="H71" s="21"/>
      <c r="K71" s="20"/>
    </row>
    <row r="72" spans="8:11" ht="30" customHeight="1" x14ac:dyDescent="0.3">
      <c r="H72" s="21"/>
      <c r="K72" s="20"/>
    </row>
    <row r="73" spans="8:11" ht="30" customHeight="1" x14ac:dyDescent="0.3">
      <c r="H73" s="21"/>
      <c r="K73" s="20"/>
    </row>
    <row r="74" spans="8:11" ht="30" customHeight="1" x14ac:dyDescent="0.3">
      <c r="H74" s="21"/>
      <c r="K74" s="20"/>
    </row>
    <row r="75" spans="8:11" ht="30" customHeight="1" x14ac:dyDescent="0.3">
      <c r="H75" s="21"/>
      <c r="K75" s="20"/>
    </row>
    <row r="76" spans="8:11" ht="30" customHeight="1" x14ac:dyDescent="0.3">
      <c r="H76" s="21"/>
      <c r="K76" s="20"/>
    </row>
    <row r="77" spans="8:11" ht="30" customHeight="1" x14ac:dyDescent="0.3">
      <c r="H77" s="21"/>
      <c r="K77" s="20"/>
    </row>
    <row r="78" spans="8:11" ht="30" customHeight="1" x14ac:dyDescent="0.3">
      <c r="H78" s="21"/>
      <c r="K78" s="20"/>
    </row>
    <row r="79" spans="8:11" ht="30" customHeight="1" x14ac:dyDescent="0.3">
      <c r="H79" s="21"/>
      <c r="K79" s="20"/>
    </row>
    <row r="80" spans="8:11" ht="30" customHeight="1" x14ac:dyDescent="0.3">
      <c r="H80" s="21"/>
      <c r="K80" s="20"/>
    </row>
    <row r="81" spans="8:11" ht="30" customHeight="1" x14ac:dyDescent="0.3">
      <c r="H81" s="21"/>
      <c r="K81" s="20"/>
    </row>
    <row r="82" spans="8:11" ht="30" customHeight="1" x14ac:dyDescent="0.3">
      <c r="H82" s="21"/>
      <c r="K82" s="20"/>
    </row>
    <row r="83" spans="8:11" ht="30" customHeight="1" x14ac:dyDescent="0.3">
      <c r="H83" s="21"/>
      <c r="K83" s="20"/>
    </row>
    <row r="84" spans="8:11" ht="30" customHeight="1" x14ac:dyDescent="0.3">
      <c r="H84" s="21"/>
      <c r="K84" s="20"/>
    </row>
    <row r="85" spans="8:11" ht="30" customHeight="1" x14ac:dyDescent="0.3">
      <c r="H85" s="21"/>
      <c r="K85" s="20"/>
    </row>
    <row r="86" spans="8:11" ht="30" customHeight="1" x14ac:dyDescent="0.3">
      <c r="H86" s="21"/>
      <c r="K86" s="20"/>
    </row>
    <row r="87" spans="8:11" ht="30" customHeight="1" x14ac:dyDescent="0.3">
      <c r="H87" s="21"/>
      <c r="K87" s="20"/>
    </row>
    <row r="88" spans="8:11" ht="30" customHeight="1" x14ac:dyDescent="0.3">
      <c r="H88" s="21"/>
      <c r="K88" s="20"/>
    </row>
    <row r="89" spans="8:11" ht="30" customHeight="1" x14ac:dyDescent="0.3">
      <c r="H89" s="21"/>
      <c r="K89" s="20"/>
    </row>
    <row r="90" spans="8:11" ht="30" customHeight="1" x14ac:dyDescent="0.3">
      <c r="H90" s="21"/>
      <c r="K90" s="20"/>
    </row>
    <row r="91" spans="8:11" ht="30" customHeight="1" x14ac:dyDescent="0.3">
      <c r="H91" s="21"/>
      <c r="K91" s="20"/>
    </row>
    <row r="92" spans="8:11" ht="30" customHeight="1" x14ac:dyDescent="0.3">
      <c r="H92" s="21"/>
      <c r="K92" s="20"/>
    </row>
    <row r="93" spans="8:11" ht="30" customHeight="1" x14ac:dyDescent="0.3">
      <c r="H93" s="21"/>
      <c r="K93" s="20"/>
    </row>
    <row r="94" spans="8:11" ht="30" customHeight="1" x14ac:dyDescent="0.3">
      <c r="H94" s="21"/>
      <c r="K94" s="20"/>
    </row>
    <row r="95" spans="8:11" ht="30" customHeight="1" x14ac:dyDescent="0.3">
      <c r="H95" s="21"/>
      <c r="K95" s="20"/>
    </row>
    <row r="96" spans="8:11" ht="30" customHeight="1" x14ac:dyDescent="0.3">
      <c r="H96" s="21"/>
      <c r="K96" s="20"/>
    </row>
    <row r="97" spans="8:11" ht="30" customHeight="1" x14ac:dyDescent="0.3">
      <c r="H97" s="21"/>
      <c r="K97" s="20"/>
    </row>
    <row r="98" spans="8:11" ht="30" customHeight="1" x14ac:dyDescent="0.3">
      <c r="H98" s="21"/>
      <c r="K98" s="20"/>
    </row>
    <row r="99" spans="8:11" ht="30" customHeight="1" x14ac:dyDescent="0.3">
      <c r="H99" s="21"/>
      <c r="K99" s="20"/>
    </row>
    <row r="100" spans="8:11" ht="30" customHeight="1" x14ac:dyDescent="0.3">
      <c r="H100" s="21"/>
      <c r="K100" s="20"/>
    </row>
    <row r="101" spans="8:11" ht="30" customHeight="1" x14ac:dyDescent="0.3">
      <c r="H101" s="21"/>
      <c r="K101" s="20"/>
    </row>
    <row r="102" spans="8:11" ht="30" customHeight="1" x14ac:dyDescent="0.3">
      <c r="H102" s="21"/>
      <c r="K102" s="20"/>
    </row>
    <row r="103" spans="8:11" ht="30" customHeight="1" x14ac:dyDescent="0.3">
      <c r="H103" s="21"/>
      <c r="K103" s="20"/>
    </row>
    <row r="104" spans="8:11" ht="30" customHeight="1" x14ac:dyDescent="0.3">
      <c r="H104" s="21"/>
      <c r="K104" s="20"/>
    </row>
    <row r="105" spans="8:11" ht="30" customHeight="1" x14ac:dyDescent="0.3">
      <c r="H105" s="21"/>
      <c r="K105" s="20"/>
    </row>
    <row r="106" spans="8:11" ht="30" customHeight="1" x14ac:dyDescent="0.3">
      <c r="H106" s="21"/>
      <c r="K106" s="20"/>
    </row>
    <row r="107" spans="8:11" ht="30" customHeight="1" x14ac:dyDescent="0.3">
      <c r="H107" s="21"/>
      <c r="K107" s="20"/>
    </row>
    <row r="108" spans="8:11" ht="30" customHeight="1" x14ac:dyDescent="0.3">
      <c r="H108" s="21"/>
      <c r="K108" s="20"/>
    </row>
    <row r="109" spans="8:11" ht="30" customHeight="1" x14ac:dyDescent="0.3">
      <c r="H109" s="21"/>
      <c r="K109" s="20"/>
    </row>
    <row r="110" spans="8:11" ht="30" customHeight="1" x14ac:dyDescent="0.3">
      <c r="H110" s="21"/>
      <c r="K110" s="20"/>
    </row>
    <row r="111" spans="8:11" ht="30" customHeight="1" x14ac:dyDescent="0.3">
      <c r="H111" s="21"/>
      <c r="K111" s="20"/>
    </row>
    <row r="112" spans="8:11" ht="30" customHeight="1" x14ac:dyDescent="0.3">
      <c r="H112" s="21"/>
      <c r="K112" s="20"/>
    </row>
    <row r="113" spans="8:11" ht="30" customHeight="1" x14ac:dyDescent="0.3">
      <c r="H113" s="21"/>
      <c r="K113" s="20"/>
    </row>
    <row r="114" spans="8:11" ht="30" customHeight="1" x14ac:dyDescent="0.3">
      <c r="H114" s="21"/>
      <c r="K114" s="20"/>
    </row>
    <row r="115" spans="8:11" ht="30" customHeight="1" x14ac:dyDescent="0.3">
      <c r="H115" s="21"/>
      <c r="K115" s="20"/>
    </row>
    <row r="116" spans="8:11" ht="30" customHeight="1" x14ac:dyDescent="0.3">
      <c r="H116" s="21"/>
      <c r="K116" s="20"/>
    </row>
    <row r="117" spans="8:11" ht="30" customHeight="1" x14ac:dyDescent="0.3">
      <c r="H117" s="21"/>
      <c r="K117" s="20"/>
    </row>
    <row r="118" spans="8:11" ht="30" customHeight="1" x14ac:dyDescent="0.3">
      <c r="H118" s="21"/>
      <c r="K118" s="20"/>
    </row>
    <row r="119" spans="8:11" ht="30" customHeight="1" x14ac:dyDescent="0.3">
      <c r="H119" s="21"/>
      <c r="K119" s="20"/>
    </row>
    <row r="120" spans="8:11" ht="30" customHeight="1" x14ac:dyDescent="0.3">
      <c r="H120" s="21"/>
      <c r="K120" s="20"/>
    </row>
    <row r="121" spans="8:11" ht="30" customHeight="1" x14ac:dyDescent="0.3">
      <c r="H121" s="21"/>
      <c r="K121" s="20"/>
    </row>
    <row r="122" spans="8:11" ht="30" customHeight="1" x14ac:dyDescent="0.3">
      <c r="H122" s="21"/>
      <c r="K122" s="20"/>
    </row>
    <row r="123" spans="8:11" ht="30" customHeight="1" x14ac:dyDescent="0.3">
      <c r="H123" s="21"/>
      <c r="K123" s="20"/>
    </row>
    <row r="124" spans="8:11" ht="30" customHeight="1" x14ac:dyDescent="0.3">
      <c r="H124" s="21"/>
      <c r="K124" s="20"/>
    </row>
    <row r="125" spans="8:11" ht="30" customHeight="1" x14ac:dyDescent="0.3">
      <c r="H125" s="21"/>
      <c r="K125" s="20"/>
    </row>
    <row r="126" spans="8:11" ht="30" customHeight="1" x14ac:dyDescent="0.3">
      <c r="H126" s="21"/>
      <c r="K126" s="20"/>
    </row>
    <row r="127" spans="8:11" ht="30" customHeight="1" x14ac:dyDescent="0.3">
      <c r="H127" s="21"/>
      <c r="K127" s="20"/>
    </row>
    <row r="128" spans="8:11" ht="30" customHeight="1" x14ac:dyDescent="0.3">
      <c r="H128" s="21"/>
      <c r="K128" s="20"/>
    </row>
    <row r="129" spans="8:11" ht="30" customHeight="1" x14ac:dyDescent="0.3">
      <c r="H129" s="21"/>
      <c r="K129" s="20"/>
    </row>
    <row r="130" spans="8:11" ht="30" customHeight="1" x14ac:dyDescent="0.3">
      <c r="H130" s="21"/>
      <c r="K130" s="20"/>
    </row>
    <row r="131" spans="8:11" ht="30" customHeight="1" x14ac:dyDescent="0.3">
      <c r="H131" s="21"/>
      <c r="K131" s="20"/>
    </row>
    <row r="132" spans="8:11" ht="30" customHeight="1" x14ac:dyDescent="0.3">
      <c r="H132" s="21"/>
      <c r="K132" s="20"/>
    </row>
    <row r="133" spans="8:11" ht="30" customHeight="1" x14ac:dyDescent="0.3">
      <c r="H133" s="21"/>
      <c r="K133" s="20"/>
    </row>
    <row r="134" spans="8:11" ht="30" customHeight="1" x14ac:dyDescent="0.3">
      <c r="H134" s="21"/>
      <c r="K134" s="20"/>
    </row>
    <row r="135" spans="8:11" ht="30" customHeight="1" x14ac:dyDescent="0.3">
      <c r="H135" s="21"/>
      <c r="K135" s="20"/>
    </row>
    <row r="136" spans="8:11" ht="30" customHeight="1" x14ac:dyDescent="0.3">
      <c r="H136" s="21"/>
      <c r="K136" s="20"/>
    </row>
    <row r="137" spans="8:11" ht="30" customHeight="1" x14ac:dyDescent="0.3">
      <c r="H137" s="21"/>
      <c r="K137" s="20"/>
    </row>
    <row r="138" spans="8:11" ht="30" customHeight="1" x14ac:dyDescent="0.3">
      <c r="H138" s="21"/>
      <c r="K138" s="20"/>
    </row>
    <row r="139" spans="8:11" ht="30" customHeight="1" x14ac:dyDescent="0.3">
      <c r="H139" s="21"/>
      <c r="K139" s="20"/>
    </row>
    <row r="140" spans="8:11" ht="30" customHeight="1" x14ac:dyDescent="0.3">
      <c r="H140" s="21"/>
      <c r="K140" s="20"/>
    </row>
    <row r="141" spans="8:11" ht="30" customHeight="1" x14ac:dyDescent="0.3">
      <c r="H141" s="21"/>
      <c r="K141" s="20"/>
    </row>
    <row r="142" spans="8:11" ht="30" customHeight="1" x14ac:dyDescent="0.3">
      <c r="H142" s="21"/>
      <c r="K142" s="20"/>
    </row>
    <row r="143" spans="8:11" ht="30" customHeight="1" x14ac:dyDescent="0.3">
      <c r="H143" s="21"/>
      <c r="K143" s="20"/>
    </row>
    <row r="144" spans="8:11" ht="30" customHeight="1" x14ac:dyDescent="0.3">
      <c r="H144" s="21"/>
      <c r="K144" s="20"/>
    </row>
    <row r="145" spans="8:11" ht="30" customHeight="1" x14ac:dyDescent="0.3">
      <c r="H145" s="21"/>
      <c r="K145" s="20"/>
    </row>
    <row r="146" spans="8:11" ht="30" customHeight="1" x14ac:dyDescent="0.3">
      <c r="H146" s="21"/>
      <c r="K146" s="20"/>
    </row>
    <row r="147" spans="8:11" ht="30" customHeight="1" x14ac:dyDescent="0.3">
      <c r="H147" s="21"/>
      <c r="K147" s="20"/>
    </row>
    <row r="148" spans="8:11" ht="30" customHeight="1" x14ac:dyDescent="0.3">
      <c r="H148" s="21"/>
      <c r="K148" s="20"/>
    </row>
    <row r="149" spans="8:11" ht="30" customHeight="1" x14ac:dyDescent="0.3">
      <c r="H149" s="21"/>
      <c r="K149" s="20"/>
    </row>
    <row r="150" spans="8:11" ht="30" customHeight="1" x14ac:dyDescent="0.3">
      <c r="H150" s="21"/>
      <c r="K150" s="20"/>
    </row>
    <row r="151" spans="8:11" ht="30" customHeight="1" x14ac:dyDescent="0.3">
      <c r="H151" s="21"/>
      <c r="K151" s="20"/>
    </row>
    <row r="152" spans="8:11" ht="30" customHeight="1" x14ac:dyDescent="0.3">
      <c r="H152" s="21"/>
      <c r="K152" s="20"/>
    </row>
    <row r="153" spans="8:11" ht="30" customHeight="1" x14ac:dyDescent="0.3">
      <c r="H153" s="21"/>
      <c r="K153" s="20"/>
    </row>
    <row r="154" spans="8:11" ht="30" customHeight="1" x14ac:dyDescent="0.3">
      <c r="H154" s="21"/>
      <c r="K154" s="20"/>
    </row>
    <row r="155" spans="8:11" ht="30" customHeight="1" x14ac:dyDescent="0.3">
      <c r="H155" s="21"/>
      <c r="K155" s="20"/>
    </row>
    <row r="156" spans="8:11" ht="30" customHeight="1" x14ac:dyDescent="0.3">
      <c r="H156" s="21"/>
      <c r="K156" s="20"/>
    </row>
    <row r="157" spans="8:11" ht="30" customHeight="1" x14ac:dyDescent="0.3">
      <c r="H157" s="21"/>
      <c r="K157" s="20"/>
    </row>
    <row r="158" spans="8:11" ht="30" customHeight="1" x14ac:dyDescent="0.3">
      <c r="H158" s="21"/>
      <c r="K158" s="20"/>
    </row>
    <row r="159" spans="8:11" ht="30" customHeight="1" x14ac:dyDescent="0.3">
      <c r="H159" s="21"/>
      <c r="K159" s="20"/>
    </row>
    <row r="160" spans="8:11" ht="30" customHeight="1" x14ac:dyDescent="0.3">
      <c r="H160" s="21"/>
      <c r="K160" s="20"/>
    </row>
    <row r="161" spans="8:11" ht="30" customHeight="1" x14ac:dyDescent="0.3">
      <c r="H161" s="21"/>
      <c r="K161" s="20"/>
    </row>
    <row r="162" spans="8:11" ht="30" customHeight="1" x14ac:dyDescent="0.3">
      <c r="H162" s="21"/>
      <c r="K162" s="20"/>
    </row>
    <row r="163" spans="8:11" ht="30" customHeight="1" x14ac:dyDescent="0.3">
      <c r="H163" s="21"/>
      <c r="K163" s="20"/>
    </row>
    <row r="164" spans="8:11" ht="30" customHeight="1" x14ac:dyDescent="0.3">
      <c r="H164" s="21"/>
      <c r="K164" s="20"/>
    </row>
    <row r="165" spans="8:11" ht="30" customHeight="1" x14ac:dyDescent="0.3">
      <c r="H165" s="21"/>
      <c r="K165" s="20"/>
    </row>
    <row r="166" spans="8:11" ht="30" customHeight="1" x14ac:dyDescent="0.3">
      <c r="H166" s="21"/>
      <c r="K166" s="20"/>
    </row>
    <row r="167" spans="8:11" ht="30" customHeight="1" x14ac:dyDescent="0.3">
      <c r="H167" s="21"/>
      <c r="K167" s="20"/>
    </row>
    <row r="168" spans="8:11" ht="30" customHeight="1" x14ac:dyDescent="0.3">
      <c r="H168" s="21"/>
      <c r="K168" s="20"/>
    </row>
    <row r="169" spans="8:11" ht="30" customHeight="1" x14ac:dyDescent="0.3">
      <c r="H169" s="21"/>
      <c r="K169" s="20"/>
    </row>
    <row r="170" spans="8:11" ht="30" customHeight="1" x14ac:dyDescent="0.3">
      <c r="H170" s="21"/>
      <c r="K170" s="20"/>
    </row>
    <row r="171" spans="8:11" ht="30" customHeight="1" x14ac:dyDescent="0.3">
      <c r="H171" s="21"/>
      <c r="K171" s="20"/>
    </row>
    <row r="172" spans="8:11" ht="30" customHeight="1" x14ac:dyDescent="0.3">
      <c r="H172" s="21"/>
      <c r="K172" s="20"/>
    </row>
    <row r="173" spans="8:11" ht="30" customHeight="1" x14ac:dyDescent="0.3">
      <c r="H173" s="21"/>
      <c r="K173" s="20"/>
    </row>
    <row r="174" spans="8:11" ht="30" customHeight="1" x14ac:dyDescent="0.3">
      <c r="H174" s="21"/>
      <c r="K174" s="20"/>
    </row>
    <row r="175" spans="8:11" ht="30" customHeight="1" x14ac:dyDescent="0.3">
      <c r="H175" s="21"/>
      <c r="K175" s="20"/>
    </row>
    <row r="176" spans="8:11" ht="30" customHeight="1" x14ac:dyDescent="0.3">
      <c r="H176" s="21"/>
      <c r="K176" s="20"/>
    </row>
    <row r="177" spans="8:11" ht="30" customHeight="1" x14ac:dyDescent="0.3">
      <c r="H177" s="21"/>
      <c r="K177" s="20"/>
    </row>
    <row r="178" spans="8:11" ht="30" customHeight="1" x14ac:dyDescent="0.3">
      <c r="H178" s="21"/>
      <c r="K178" s="20"/>
    </row>
    <row r="179" spans="8:11" ht="30" customHeight="1" x14ac:dyDescent="0.3">
      <c r="H179" s="21"/>
      <c r="K179" s="20"/>
    </row>
    <row r="180" spans="8:11" ht="30" customHeight="1" x14ac:dyDescent="0.3">
      <c r="H180" s="21"/>
      <c r="K180" s="20"/>
    </row>
    <row r="181" spans="8:11" ht="30" customHeight="1" x14ac:dyDescent="0.3">
      <c r="H181" s="21"/>
      <c r="K181" s="20"/>
    </row>
    <row r="182" spans="8:11" ht="30" customHeight="1" x14ac:dyDescent="0.3">
      <c r="H182" s="21"/>
      <c r="K182" s="20"/>
    </row>
    <row r="183" spans="8:11" ht="30" customHeight="1" x14ac:dyDescent="0.3">
      <c r="H183" s="21"/>
      <c r="K183" s="20"/>
    </row>
    <row r="184" spans="8:11" ht="30" customHeight="1" x14ac:dyDescent="0.3">
      <c r="H184" s="21"/>
      <c r="K184" s="20"/>
    </row>
    <row r="185" spans="8:11" ht="30" customHeight="1" x14ac:dyDescent="0.3">
      <c r="H185" s="21"/>
      <c r="K185" s="20"/>
    </row>
    <row r="186" spans="8:11" ht="30" customHeight="1" x14ac:dyDescent="0.3">
      <c r="H186" s="21"/>
      <c r="K186" s="20"/>
    </row>
    <row r="187" spans="8:11" ht="30" customHeight="1" x14ac:dyDescent="0.3">
      <c r="H187" s="21"/>
      <c r="K187" s="20"/>
    </row>
    <row r="188" spans="8:11" ht="30" customHeight="1" x14ac:dyDescent="0.3">
      <c r="H188" s="21"/>
      <c r="K188" s="20"/>
    </row>
    <row r="189" spans="8:11" ht="30" customHeight="1" x14ac:dyDescent="0.3">
      <c r="H189" s="21"/>
      <c r="K189" s="20"/>
    </row>
    <row r="190" spans="8:11" ht="30" customHeight="1" x14ac:dyDescent="0.3">
      <c r="H190" s="21"/>
      <c r="K190" s="20"/>
    </row>
    <row r="191" spans="8:11" ht="30" customHeight="1" x14ac:dyDescent="0.3">
      <c r="H191" s="21"/>
      <c r="K191" s="20"/>
    </row>
    <row r="192" spans="8:11" ht="30" customHeight="1" x14ac:dyDescent="0.3">
      <c r="H192" s="21"/>
      <c r="K192" s="20"/>
    </row>
    <row r="193" spans="8:11" ht="30" customHeight="1" x14ac:dyDescent="0.3">
      <c r="H193" s="21"/>
      <c r="K193" s="20"/>
    </row>
    <row r="194" spans="8:11" ht="30" customHeight="1" x14ac:dyDescent="0.3">
      <c r="H194" s="21"/>
      <c r="K194" s="20"/>
    </row>
    <row r="195" spans="8:11" ht="30" customHeight="1" x14ac:dyDescent="0.3">
      <c r="H195" s="21"/>
      <c r="K195" s="20"/>
    </row>
    <row r="196" spans="8:11" ht="30" customHeight="1" x14ac:dyDescent="0.3">
      <c r="H196" s="21"/>
      <c r="K196" s="20"/>
    </row>
    <row r="197" spans="8:11" ht="30" customHeight="1" x14ac:dyDescent="0.3">
      <c r="H197" s="21"/>
      <c r="K197" s="20"/>
    </row>
    <row r="198" spans="8:11" ht="30" customHeight="1" x14ac:dyDescent="0.3">
      <c r="H198" s="21"/>
      <c r="K198" s="20"/>
    </row>
    <row r="199" spans="8:11" ht="30" customHeight="1" x14ac:dyDescent="0.3">
      <c r="H199" s="21"/>
      <c r="K199" s="20"/>
    </row>
    <row r="200" spans="8:11" ht="30" customHeight="1" x14ac:dyDescent="0.3">
      <c r="H200" s="21"/>
      <c r="K200" s="20"/>
    </row>
    <row r="201" spans="8:11" ht="30" customHeight="1" x14ac:dyDescent="0.3">
      <c r="H201" s="21"/>
      <c r="K201" s="20"/>
    </row>
    <row r="202" spans="8:11" ht="30" customHeight="1" x14ac:dyDescent="0.3">
      <c r="H202" s="21"/>
      <c r="K202" s="20"/>
    </row>
    <row r="203" spans="8:11" ht="30" customHeight="1" x14ac:dyDescent="0.3">
      <c r="H203" s="21"/>
      <c r="K203" s="20"/>
    </row>
    <row r="204" spans="8:11" ht="30" customHeight="1" x14ac:dyDescent="0.3">
      <c r="H204" s="21"/>
      <c r="K204" s="20"/>
    </row>
    <row r="205" spans="8:11" ht="30" customHeight="1" x14ac:dyDescent="0.3">
      <c r="H205" s="21"/>
      <c r="K205" s="20"/>
    </row>
    <row r="206" spans="8:11" ht="30" customHeight="1" x14ac:dyDescent="0.3">
      <c r="H206" s="21"/>
      <c r="K206" s="20"/>
    </row>
    <row r="207" spans="8:11" ht="30" customHeight="1" x14ac:dyDescent="0.3">
      <c r="H207" s="21"/>
      <c r="K207" s="20"/>
    </row>
    <row r="208" spans="8:11" ht="30" customHeight="1" x14ac:dyDescent="0.3">
      <c r="H208" s="21"/>
      <c r="K208" s="20"/>
    </row>
    <row r="209" spans="8:11" ht="30" customHeight="1" x14ac:dyDescent="0.3">
      <c r="H209" s="21"/>
      <c r="K209" s="20"/>
    </row>
    <row r="210" spans="8:11" ht="30" customHeight="1" x14ac:dyDescent="0.3">
      <c r="H210" s="21"/>
      <c r="K210" s="20"/>
    </row>
    <row r="211" spans="8:11" ht="30" customHeight="1" x14ac:dyDescent="0.3">
      <c r="H211" s="21"/>
      <c r="K211" s="20"/>
    </row>
    <row r="212" spans="8:11" ht="30" customHeight="1" x14ac:dyDescent="0.3">
      <c r="H212" s="21"/>
      <c r="K212" s="20"/>
    </row>
    <row r="213" spans="8:11" ht="30" customHeight="1" x14ac:dyDescent="0.3">
      <c r="H213" s="21"/>
      <c r="K213" s="20"/>
    </row>
    <row r="214" spans="8:11" ht="30" customHeight="1" x14ac:dyDescent="0.3">
      <c r="H214" s="21"/>
      <c r="K214" s="20"/>
    </row>
    <row r="215" spans="8:11" ht="30" customHeight="1" x14ac:dyDescent="0.3">
      <c r="H215" s="21"/>
      <c r="K215" s="20"/>
    </row>
    <row r="216" spans="8:11" ht="30" customHeight="1" x14ac:dyDescent="0.3">
      <c r="H216" s="21"/>
      <c r="K216" s="20"/>
    </row>
    <row r="217" spans="8:11" ht="30" customHeight="1" x14ac:dyDescent="0.3">
      <c r="H217" s="21"/>
      <c r="K217" s="20"/>
    </row>
    <row r="218" spans="8:11" ht="30" customHeight="1" x14ac:dyDescent="0.3">
      <c r="H218" s="21"/>
      <c r="K218" s="20"/>
    </row>
    <row r="219" spans="8:11" ht="30" customHeight="1" x14ac:dyDescent="0.3">
      <c r="H219" s="21"/>
      <c r="K219" s="20"/>
    </row>
    <row r="220" spans="8:11" ht="30" customHeight="1" x14ac:dyDescent="0.3">
      <c r="H220" s="21"/>
      <c r="K220" s="20"/>
    </row>
    <row r="221" spans="8:11" ht="30" customHeight="1" x14ac:dyDescent="0.3">
      <c r="H221" s="21"/>
      <c r="K221" s="20"/>
    </row>
    <row r="222" spans="8:11" ht="30" customHeight="1" x14ac:dyDescent="0.3">
      <c r="H222" s="21"/>
      <c r="K222" s="20"/>
    </row>
    <row r="223" spans="8:11" ht="30" customHeight="1" x14ac:dyDescent="0.3">
      <c r="H223" s="21"/>
      <c r="K223" s="20"/>
    </row>
    <row r="224" spans="8:11" ht="30" customHeight="1" x14ac:dyDescent="0.3">
      <c r="H224" s="21"/>
      <c r="K224" s="20"/>
    </row>
    <row r="225" spans="8:11" ht="30" customHeight="1" x14ac:dyDescent="0.3">
      <c r="H225" s="21"/>
      <c r="K225" s="20"/>
    </row>
    <row r="226" spans="8:11" ht="30" customHeight="1" x14ac:dyDescent="0.3">
      <c r="H226" s="21"/>
      <c r="K226" s="20"/>
    </row>
    <row r="227" spans="8:11" ht="30" customHeight="1" x14ac:dyDescent="0.3">
      <c r="H227" s="21"/>
      <c r="K227" s="20"/>
    </row>
    <row r="228" spans="8:11" ht="30" customHeight="1" x14ac:dyDescent="0.3">
      <c r="H228" s="21"/>
      <c r="K228" s="20"/>
    </row>
    <row r="229" spans="8:11" ht="30" customHeight="1" x14ac:dyDescent="0.3">
      <c r="H229" s="21"/>
      <c r="K229" s="20"/>
    </row>
    <row r="230" spans="8:11" ht="30" customHeight="1" x14ac:dyDescent="0.3">
      <c r="H230" s="21"/>
      <c r="K230" s="20"/>
    </row>
    <row r="231" spans="8:11" ht="30" customHeight="1" x14ac:dyDescent="0.3">
      <c r="H231" s="21"/>
      <c r="K231" s="20"/>
    </row>
    <row r="232" spans="8:11" ht="30" customHeight="1" x14ac:dyDescent="0.3">
      <c r="H232" s="21"/>
      <c r="K232" s="20"/>
    </row>
    <row r="233" spans="8:11" ht="30" customHeight="1" x14ac:dyDescent="0.3">
      <c r="H233" s="21"/>
      <c r="K233" s="20"/>
    </row>
    <row r="234" spans="8:11" ht="30" customHeight="1" x14ac:dyDescent="0.3">
      <c r="H234" s="21"/>
      <c r="K234" s="20"/>
    </row>
    <row r="235" spans="8:11" ht="30" customHeight="1" x14ac:dyDescent="0.3">
      <c r="H235" s="21"/>
      <c r="K235" s="20"/>
    </row>
    <row r="236" spans="8:11" ht="30" customHeight="1" x14ac:dyDescent="0.3">
      <c r="H236" s="21"/>
      <c r="K236" s="20"/>
    </row>
    <row r="237" spans="8:11" ht="30" customHeight="1" x14ac:dyDescent="0.3">
      <c r="H237" s="21"/>
      <c r="K237" s="20"/>
    </row>
    <row r="238" spans="8:11" ht="30" customHeight="1" x14ac:dyDescent="0.3">
      <c r="H238" s="21"/>
      <c r="K238" s="20"/>
    </row>
    <row r="239" spans="8:11" ht="30" customHeight="1" x14ac:dyDescent="0.3">
      <c r="H239" s="21"/>
      <c r="K239" s="20"/>
    </row>
    <row r="240" spans="8:11" ht="30" customHeight="1" x14ac:dyDescent="0.3">
      <c r="H240" s="21"/>
      <c r="K240" s="20"/>
    </row>
    <row r="241" spans="8:11" ht="30" customHeight="1" x14ac:dyDescent="0.3">
      <c r="H241" s="21"/>
      <c r="K241" s="20"/>
    </row>
    <row r="242" spans="8:11" ht="30" customHeight="1" x14ac:dyDescent="0.3">
      <c r="H242" s="21"/>
      <c r="K242" s="20"/>
    </row>
    <row r="243" spans="8:11" ht="30" customHeight="1" x14ac:dyDescent="0.3">
      <c r="H243" s="21"/>
      <c r="K243" s="20"/>
    </row>
    <row r="244" spans="8:11" ht="30" customHeight="1" x14ac:dyDescent="0.3">
      <c r="H244" s="21"/>
      <c r="K244" s="20"/>
    </row>
    <row r="245" spans="8:11" ht="30" customHeight="1" x14ac:dyDescent="0.3">
      <c r="H245" s="21"/>
      <c r="K245" s="20"/>
    </row>
    <row r="246" spans="8:11" ht="30" customHeight="1" x14ac:dyDescent="0.3">
      <c r="H246" s="21"/>
      <c r="K246" s="20"/>
    </row>
    <row r="247" spans="8:11" ht="30" customHeight="1" x14ac:dyDescent="0.3">
      <c r="H247" s="21"/>
      <c r="K247" s="20"/>
    </row>
    <row r="248" spans="8:11" ht="30" customHeight="1" x14ac:dyDescent="0.3">
      <c r="H248" s="21"/>
      <c r="K248" s="20"/>
    </row>
    <row r="249" spans="8:11" ht="30" customHeight="1" x14ac:dyDescent="0.3">
      <c r="H249" s="21"/>
      <c r="K249" s="20"/>
    </row>
    <row r="250" spans="8:11" ht="30" customHeight="1" x14ac:dyDescent="0.3">
      <c r="H250" s="21"/>
      <c r="K250" s="20"/>
    </row>
    <row r="251" spans="8:11" ht="30" customHeight="1" x14ac:dyDescent="0.3">
      <c r="H251" s="21"/>
      <c r="K251" s="20"/>
    </row>
    <row r="252" spans="8:11" ht="30" customHeight="1" x14ac:dyDescent="0.3">
      <c r="H252" s="21"/>
      <c r="K252" s="20"/>
    </row>
    <row r="253" spans="8:11" ht="30" customHeight="1" x14ac:dyDescent="0.3">
      <c r="H253" s="21"/>
      <c r="K253" s="20"/>
    </row>
    <row r="254" spans="8:11" ht="30" customHeight="1" x14ac:dyDescent="0.3">
      <c r="H254" s="21"/>
      <c r="K254" s="20"/>
    </row>
    <row r="255" spans="8:11" ht="30" customHeight="1" x14ac:dyDescent="0.3">
      <c r="H255" s="21"/>
      <c r="K255" s="20"/>
    </row>
    <row r="256" spans="8:11" ht="30" customHeight="1" x14ac:dyDescent="0.3">
      <c r="H256" s="21"/>
      <c r="K256" s="20"/>
    </row>
    <row r="257" spans="8:11" ht="30" customHeight="1" x14ac:dyDescent="0.3">
      <c r="H257" s="21"/>
      <c r="K257" s="20"/>
    </row>
    <row r="258" spans="8:11" ht="30" customHeight="1" x14ac:dyDescent="0.3">
      <c r="H258" s="21"/>
      <c r="K258" s="20"/>
    </row>
    <row r="259" spans="8:11" ht="30" customHeight="1" x14ac:dyDescent="0.3">
      <c r="H259" s="21"/>
      <c r="K259" s="20"/>
    </row>
    <row r="260" spans="8:11" ht="30" customHeight="1" x14ac:dyDescent="0.3">
      <c r="H260" s="21"/>
      <c r="K260" s="20"/>
    </row>
    <row r="261" spans="8:11" ht="30" customHeight="1" x14ac:dyDescent="0.3">
      <c r="H261" s="21"/>
      <c r="K261" s="20"/>
    </row>
    <row r="262" spans="8:11" ht="30" customHeight="1" x14ac:dyDescent="0.3">
      <c r="H262" s="21"/>
      <c r="K262" s="20"/>
    </row>
    <row r="263" spans="8:11" ht="30" customHeight="1" x14ac:dyDescent="0.3">
      <c r="H263" s="21"/>
      <c r="K263" s="20"/>
    </row>
    <row r="264" spans="8:11" ht="30" customHeight="1" x14ac:dyDescent="0.3">
      <c r="H264" s="21"/>
      <c r="K264" s="20"/>
    </row>
    <row r="265" spans="8:11" ht="30" customHeight="1" x14ac:dyDescent="0.3">
      <c r="H265" s="21"/>
      <c r="K265" s="20"/>
    </row>
    <row r="266" spans="8:11" ht="30" customHeight="1" x14ac:dyDescent="0.3">
      <c r="H266" s="21"/>
      <c r="K266" s="20"/>
    </row>
    <row r="267" spans="8:11" ht="30" customHeight="1" x14ac:dyDescent="0.3">
      <c r="H267" s="21"/>
      <c r="K267" s="20"/>
    </row>
    <row r="268" spans="8:11" ht="30" customHeight="1" x14ac:dyDescent="0.3">
      <c r="H268" s="21"/>
      <c r="K268" s="20"/>
    </row>
    <row r="269" spans="8:11" ht="30" customHeight="1" x14ac:dyDescent="0.3">
      <c r="H269" s="21"/>
      <c r="K269" s="20"/>
    </row>
    <row r="270" spans="8:11" ht="30" customHeight="1" x14ac:dyDescent="0.3">
      <c r="H270" s="21"/>
      <c r="K270" s="20"/>
    </row>
    <row r="271" spans="8:11" ht="30" customHeight="1" x14ac:dyDescent="0.3">
      <c r="H271" s="21"/>
      <c r="K271" s="20"/>
    </row>
    <row r="272" spans="8:11" ht="30" customHeight="1" x14ac:dyDescent="0.3">
      <c r="H272" s="21"/>
      <c r="K272" s="20"/>
    </row>
    <row r="273" spans="8:11" ht="30" customHeight="1" x14ac:dyDescent="0.3">
      <c r="H273" s="21"/>
      <c r="K273" s="20"/>
    </row>
    <row r="274" spans="8:11" ht="30" customHeight="1" x14ac:dyDescent="0.3">
      <c r="H274" s="21"/>
      <c r="K274" s="20"/>
    </row>
    <row r="275" spans="8:11" ht="30" customHeight="1" x14ac:dyDescent="0.3">
      <c r="H275" s="21"/>
      <c r="K275" s="20"/>
    </row>
    <row r="276" spans="8:11" ht="30" customHeight="1" x14ac:dyDescent="0.3">
      <c r="H276" s="21"/>
      <c r="K276" s="20"/>
    </row>
    <row r="277" spans="8:11" ht="30" customHeight="1" x14ac:dyDescent="0.3">
      <c r="H277" s="21"/>
      <c r="K277" s="20"/>
    </row>
    <row r="278" spans="8:11" ht="30" customHeight="1" x14ac:dyDescent="0.3">
      <c r="H278" s="21"/>
      <c r="K278" s="20"/>
    </row>
    <row r="279" spans="8:11" ht="30" customHeight="1" x14ac:dyDescent="0.3">
      <c r="H279" s="21"/>
      <c r="K279" s="20"/>
    </row>
    <row r="280" spans="8:11" ht="30" customHeight="1" x14ac:dyDescent="0.3">
      <c r="H280" s="21"/>
      <c r="K280" s="20"/>
    </row>
    <row r="281" spans="8:11" ht="30" customHeight="1" x14ac:dyDescent="0.3">
      <c r="H281" s="21"/>
      <c r="K281" s="20"/>
    </row>
    <row r="282" spans="8:11" ht="30" customHeight="1" x14ac:dyDescent="0.3">
      <c r="H282" s="21"/>
      <c r="K282" s="20"/>
    </row>
    <row r="283" spans="8:11" ht="30" customHeight="1" x14ac:dyDescent="0.3">
      <c r="H283" s="21"/>
      <c r="K283" s="20"/>
    </row>
    <row r="284" spans="8:11" ht="30" customHeight="1" x14ac:dyDescent="0.3">
      <c r="H284" s="21"/>
      <c r="K284" s="20"/>
    </row>
    <row r="285" spans="8:11" ht="30" customHeight="1" x14ac:dyDescent="0.3">
      <c r="H285" s="21"/>
      <c r="K285" s="20"/>
    </row>
    <row r="286" spans="8:11" ht="30" customHeight="1" x14ac:dyDescent="0.3">
      <c r="H286" s="21"/>
      <c r="K286" s="20"/>
    </row>
    <row r="287" spans="8:11" ht="30" customHeight="1" x14ac:dyDescent="0.3">
      <c r="H287" s="21"/>
      <c r="K287" s="20"/>
    </row>
    <row r="288" spans="8:11" ht="30" customHeight="1" x14ac:dyDescent="0.3">
      <c r="H288" s="21"/>
      <c r="K288" s="20"/>
    </row>
    <row r="289" spans="8:11" ht="30" customHeight="1" x14ac:dyDescent="0.3">
      <c r="H289" s="21"/>
      <c r="K289" s="20"/>
    </row>
    <row r="290" spans="8:11" ht="30" customHeight="1" x14ac:dyDescent="0.3">
      <c r="H290" s="21"/>
      <c r="K290" s="20"/>
    </row>
    <row r="291" spans="8:11" ht="30" customHeight="1" x14ac:dyDescent="0.3">
      <c r="H291" s="21"/>
      <c r="K291" s="20"/>
    </row>
    <row r="292" spans="8:11" ht="30" customHeight="1" x14ac:dyDescent="0.3">
      <c r="H292" s="21"/>
      <c r="K292" s="20"/>
    </row>
    <row r="293" spans="8:11" ht="30" customHeight="1" x14ac:dyDescent="0.3">
      <c r="H293" s="21"/>
      <c r="K293" s="20"/>
    </row>
    <row r="294" spans="8:11" ht="30" customHeight="1" x14ac:dyDescent="0.3">
      <c r="H294" s="21"/>
      <c r="K294" s="20"/>
    </row>
    <row r="295" spans="8:11" ht="30" customHeight="1" x14ac:dyDescent="0.3">
      <c r="H295" s="21"/>
      <c r="K295" s="20"/>
    </row>
    <row r="296" spans="8:11" ht="30" customHeight="1" x14ac:dyDescent="0.3">
      <c r="H296" s="21"/>
      <c r="K296" s="20"/>
    </row>
    <row r="297" spans="8:11" ht="30" customHeight="1" x14ac:dyDescent="0.3">
      <c r="H297" s="21"/>
      <c r="K297" s="20"/>
    </row>
    <row r="298" spans="8:11" ht="30" customHeight="1" x14ac:dyDescent="0.3">
      <c r="H298" s="21"/>
      <c r="K298" s="20"/>
    </row>
    <row r="299" spans="8:11" ht="30" customHeight="1" x14ac:dyDescent="0.3">
      <c r="H299" s="21"/>
      <c r="K299" s="20"/>
    </row>
    <row r="300" spans="8:11" ht="30" customHeight="1" x14ac:dyDescent="0.3">
      <c r="H300" s="21"/>
      <c r="K300" s="20"/>
    </row>
    <row r="301" spans="8:11" ht="30" customHeight="1" x14ac:dyDescent="0.3">
      <c r="H301" s="21"/>
      <c r="K301" s="20"/>
    </row>
    <row r="302" spans="8:11" ht="30" customHeight="1" x14ac:dyDescent="0.3">
      <c r="H302" s="21"/>
      <c r="K302" s="20"/>
    </row>
    <row r="303" spans="8:11" ht="30" customHeight="1" x14ac:dyDescent="0.3">
      <c r="H303" s="21"/>
      <c r="K303" s="20"/>
    </row>
    <row r="304" spans="8:11" ht="30" customHeight="1" x14ac:dyDescent="0.3">
      <c r="H304" s="21"/>
      <c r="K304" s="20"/>
    </row>
    <row r="305" spans="8:11" ht="30" customHeight="1" x14ac:dyDescent="0.3">
      <c r="H305" s="21"/>
      <c r="K305" s="20"/>
    </row>
    <row r="306" spans="8:11" ht="30" customHeight="1" x14ac:dyDescent="0.3">
      <c r="H306" s="21"/>
      <c r="K306" s="20"/>
    </row>
    <row r="307" spans="8:11" ht="30" customHeight="1" x14ac:dyDescent="0.3">
      <c r="H307" s="21"/>
      <c r="K307" s="20"/>
    </row>
    <row r="308" spans="8:11" ht="30" customHeight="1" x14ac:dyDescent="0.3">
      <c r="H308" s="21"/>
      <c r="K308" s="20"/>
    </row>
    <row r="309" spans="8:11" ht="30" customHeight="1" x14ac:dyDescent="0.3">
      <c r="H309" s="21"/>
      <c r="K309" s="20"/>
    </row>
    <row r="310" spans="8:11" ht="30" customHeight="1" x14ac:dyDescent="0.3">
      <c r="H310" s="21"/>
      <c r="K310" s="20"/>
    </row>
    <row r="311" spans="8:11" ht="30" customHeight="1" x14ac:dyDescent="0.3">
      <c r="H311" s="21"/>
      <c r="K311" s="20"/>
    </row>
    <row r="312" spans="8:11" ht="30" customHeight="1" x14ac:dyDescent="0.3">
      <c r="H312" s="21"/>
      <c r="K312" s="20"/>
    </row>
    <row r="313" spans="8:11" ht="30" customHeight="1" x14ac:dyDescent="0.3">
      <c r="H313" s="21"/>
      <c r="K313" s="20"/>
    </row>
    <row r="314" spans="8:11" ht="30" customHeight="1" x14ac:dyDescent="0.3">
      <c r="H314" s="21"/>
      <c r="K314" s="20"/>
    </row>
    <row r="315" spans="8:11" ht="30" customHeight="1" x14ac:dyDescent="0.3">
      <c r="H315" s="21"/>
      <c r="K315" s="20"/>
    </row>
    <row r="316" spans="8:11" ht="30" customHeight="1" x14ac:dyDescent="0.3">
      <c r="H316" s="21"/>
      <c r="K316" s="20"/>
    </row>
    <row r="317" spans="8:11" ht="30" customHeight="1" x14ac:dyDescent="0.3">
      <c r="H317" s="21"/>
      <c r="K317" s="20"/>
    </row>
    <row r="318" spans="8:11" ht="30" customHeight="1" x14ac:dyDescent="0.3">
      <c r="H318" s="21"/>
      <c r="K318" s="20"/>
    </row>
    <row r="319" spans="8:11" ht="30" customHeight="1" x14ac:dyDescent="0.3">
      <c r="H319" s="21"/>
      <c r="K319" s="20"/>
    </row>
    <row r="320" spans="8:11" ht="30" customHeight="1" x14ac:dyDescent="0.3">
      <c r="H320" s="21"/>
      <c r="K320" s="20"/>
    </row>
    <row r="321" spans="8:11" ht="30" customHeight="1" x14ac:dyDescent="0.3">
      <c r="H321" s="21"/>
      <c r="K321" s="20"/>
    </row>
    <row r="322" spans="8:11" ht="30" customHeight="1" x14ac:dyDescent="0.3">
      <c r="H322" s="21"/>
      <c r="K322" s="20"/>
    </row>
    <row r="323" spans="8:11" ht="30" customHeight="1" x14ac:dyDescent="0.3">
      <c r="H323" s="21"/>
      <c r="K323" s="20"/>
    </row>
    <row r="324" spans="8:11" ht="30" customHeight="1" x14ac:dyDescent="0.3">
      <c r="H324" s="21"/>
      <c r="K324" s="20"/>
    </row>
    <row r="325" spans="8:11" ht="30" customHeight="1" x14ac:dyDescent="0.3">
      <c r="H325" s="21"/>
      <c r="K325" s="20"/>
    </row>
    <row r="326" spans="8:11" ht="30" customHeight="1" x14ac:dyDescent="0.3">
      <c r="H326" s="21"/>
      <c r="K326" s="20"/>
    </row>
    <row r="327" spans="8:11" ht="30" customHeight="1" x14ac:dyDescent="0.3">
      <c r="H327" s="21"/>
      <c r="K327" s="20"/>
    </row>
    <row r="328" spans="8:11" ht="30" customHeight="1" x14ac:dyDescent="0.3">
      <c r="H328" s="21"/>
      <c r="K328" s="20"/>
    </row>
    <row r="329" spans="8:11" ht="30" customHeight="1" x14ac:dyDescent="0.3">
      <c r="H329" s="21"/>
      <c r="K329" s="20"/>
    </row>
    <row r="330" spans="8:11" ht="30" customHeight="1" x14ac:dyDescent="0.3">
      <c r="H330" s="21"/>
      <c r="K330" s="20"/>
    </row>
    <row r="331" spans="8:11" ht="30" customHeight="1" x14ac:dyDescent="0.3">
      <c r="H331" s="21"/>
      <c r="K331" s="20"/>
    </row>
    <row r="332" spans="8:11" ht="30" customHeight="1" x14ac:dyDescent="0.3">
      <c r="H332" s="21"/>
      <c r="K332" s="20"/>
    </row>
    <row r="333" spans="8:11" ht="30" customHeight="1" x14ac:dyDescent="0.3">
      <c r="H333" s="21"/>
      <c r="K333" s="20"/>
    </row>
    <row r="334" spans="8:11" ht="30" customHeight="1" x14ac:dyDescent="0.3">
      <c r="H334" s="21"/>
      <c r="K334" s="20"/>
    </row>
    <row r="335" spans="8:11" ht="30" customHeight="1" x14ac:dyDescent="0.3">
      <c r="H335" s="21"/>
      <c r="K335" s="20"/>
    </row>
    <row r="336" spans="8:11" ht="30" customHeight="1" x14ac:dyDescent="0.3">
      <c r="H336" s="21"/>
      <c r="K336" s="20"/>
    </row>
    <row r="337" spans="8:11" ht="30" customHeight="1" x14ac:dyDescent="0.3">
      <c r="H337" s="21"/>
      <c r="K337" s="20"/>
    </row>
    <row r="338" spans="8:11" ht="30" customHeight="1" x14ac:dyDescent="0.3">
      <c r="H338" s="21"/>
      <c r="K338" s="20"/>
    </row>
    <row r="339" spans="8:11" ht="30" customHeight="1" x14ac:dyDescent="0.3">
      <c r="H339" s="21"/>
      <c r="K339" s="20"/>
    </row>
    <row r="340" spans="8:11" ht="30" customHeight="1" x14ac:dyDescent="0.3">
      <c r="H340" s="21"/>
      <c r="K340" s="20"/>
    </row>
    <row r="341" spans="8:11" ht="30" customHeight="1" x14ac:dyDescent="0.3">
      <c r="H341" s="21"/>
      <c r="K341" s="20"/>
    </row>
    <row r="342" spans="8:11" ht="30" customHeight="1" x14ac:dyDescent="0.3">
      <c r="H342" s="21"/>
      <c r="K342" s="20"/>
    </row>
    <row r="343" spans="8:11" ht="30" customHeight="1" x14ac:dyDescent="0.3">
      <c r="H343" s="21"/>
      <c r="K343" s="20"/>
    </row>
    <row r="344" spans="8:11" ht="30" customHeight="1" x14ac:dyDescent="0.3">
      <c r="H344" s="21"/>
      <c r="K344" s="20"/>
    </row>
    <row r="345" spans="8:11" ht="30" customHeight="1" x14ac:dyDescent="0.3">
      <c r="H345" s="21"/>
      <c r="K345" s="20"/>
    </row>
    <row r="346" spans="8:11" ht="30" customHeight="1" x14ac:dyDescent="0.3">
      <c r="H346" s="21"/>
      <c r="K346" s="20"/>
    </row>
    <row r="347" spans="8:11" ht="30" customHeight="1" x14ac:dyDescent="0.3">
      <c r="H347" s="21"/>
      <c r="K347" s="20"/>
    </row>
    <row r="348" spans="8:11" ht="30" customHeight="1" x14ac:dyDescent="0.3">
      <c r="H348" s="21"/>
      <c r="K348" s="20"/>
    </row>
    <row r="349" spans="8:11" ht="30" customHeight="1" x14ac:dyDescent="0.3">
      <c r="H349" s="21"/>
      <c r="K349" s="20"/>
    </row>
    <row r="350" spans="8:11" ht="30" customHeight="1" x14ac:dyDescent="0.3">
      <c r="H350" s="21"/>
      <c r="K350" s="20"/>
    </row>
    <row r="351" spans="8:11" ht="30" customHeight="1" x14ac:dyDescent="0.3">
      <c r="H351" s="21"/>
      <c r="K351" s="20"/>
    </row>
    <row r="352" spans="8:11" ht="30" customHeight="1" x14ac:dyDescent="0.3">
      <c r="H352" s="21"/>
      <c r="K352" s="20"/>
    </row>
    <row r="353" spans="8:11" ht="30" customHeight="1" x14ac:dyDescent="0.3">
      <c r="H353" s="21"/>
      <c r="K353" s="20"/>
    </row>
    <row r="354" spans="8:11" ht="30" customHeight="1" x14ac:dyDescent="0.3">
      <c r="H354" s="21"/>
      <c r="K354" s="20"/>
    </row>
    <row r="355" spans="8:11" ht="30" customHeight="1" x14ac:dyDescent="0.3">
      <c r="H355" s="21"/>
      <c r="K355" s="20"/>
    </row>
    <row r="356" spans="8:11" ht="30" customHeight="1" x14ac:dyDescent="0.3">
      <c r="H356" s="21"/>
      <c r="K356" s="20"/>
    </row>
    <row r="357" spans="8:11" ht="30" customHeight="1" x14ac:dyDescent="0.3">
      <c r="H357" s="21"/>
      <c r="K357" s="20"/>
    </row>
    <row r="358" spans="8:11" ht="30" customHeight="1" x14ac:dyDescent="0.3">
      <c r="H358" s="21"/>
      <c r="K358" s="20"/>
    </row>
    <row r="359" spans="8:11" ht="30" customHeight="1" x14ac:dyDescent="0.3">
      <c r="H359" s="21"/>
      <c r="K359" s="20"/>
    </row>
    <row r="360" spans="8:11" ht="30" customHeight="1" x14ac:dyDescent="0.3">
      <c r="H360" s="21"/>
      <c r="K360" s="20"/>
    </row>
    <row r="361" spans="8:11" ht="30" customHeight="1" x14ac:dyDescent="0.3">
      <c r="H361" s="21"/>
      <c r="K361" s="20"/>
    </row>
    <row r="362" spans="8:11" ht="30" customHeight="1" x14ac:dyDescent="0.3">
      <c r="H362" s="21"/>
      <c r="K362" s="20"/>
    </row>
    <row r="363" spans="8:11" ht="30" customHeight="1" x14ac:dyDescent="0.3">
      <c r="H363" s="21"/>
      <c r="K363" s="20"/>
    </row>
    <row r="364" spans="8:11" ht="30" customHeight="1" x14ac:dyDescent="0.3">
      <c r="H364" s="21"/>
      <c r="K364" s="20"/>
    </row>
    <row r="365" spans="8:11" ht="30" customHeight="1" x14ac:dyDescent="0.3">
      <c r="H365" s="21"/>
      <c r="K365" s="20"/>
    </row>
    <row r="366" spans="8:11" ht="30" customHeight="1" x14ac:dyDescent="0.3">
      <c r="H366" s="21"/>
      <c r="K366" s="20"/>
    </row>
    <row r="367" spans="8:11" ht="30" customHeight="1" x14ac:dyDescent="0.3">
      <c r="H367" s="21"/>
      <c r="K367" s="20"/>
    </row>
    <row r="368" spans="8:11" ht="30" customHeight="1" x14ac:dyDescent="0.3">
      <c r="H368" s="21"/>
      <c r="K368" s="20"/>
    </row>
    <row r="369" spans="8:11" ht="30" customHeight="1" x14ac:dyDescent="0.3">
      <c r="H369" s="21"/>
      <c r="K369" s="20"/>
    </row>
    <row r="370" spans="8:11" ht="30" customHeight="1" x14ac:dyDescent="0.3">
      <c r="H370" s="21"/>
      <c r="K370" s="20"/>
    </row>
    <row r="371" spans="8:11" ht="30" customHeight="1" x14ac:dyDescent="0.3">
      <c r="H371" s="21"/>
      <c r="K371" s="20"/>
    </row>
    <row r="372" spans="8:11" ht="30" customHeight="1" x14ac:dyDescent="0.3">
      <c r="H372" s="21"/>
      <c r="K372" s="20"/>
    </row>
    <row r="373" spans="8:11" ht="30" customHeight="1" x14ac:dyDescent="0.3">
      <c r="H373" s="21"/>
      <c r="K373" s="20"/>
    </row>
    <row r="374" spans="8:11" ht="30" customHeight="1" x14ac:dyDescent="0.3">
      <c r="H374" s="21"/>
      <c r="K374" s="20"/>
    </row>
    <row r="375" spans="8:11" ht="30" customHeight="1" x14ac:dyDescent="0.3">
      <c r="H375" s="21"/>
      <c r="K375" s="20"/>
    </row>
    <row r="376" spans="8:11" ht="30" customHeight="1" x14ac:dyDescent="0.3">
      <c r="H376" s="21"/>
      <c r="K376" s="20"/>
    </row>
    <row r="377" spans="8:11" ht="30" customHeight="1" x14ac:dyDescent="0.3">
      <c r="H377" s="21"/>
      <c r="K377" s="20"/>
    </row>
    <row r="378" spans="8:11" ht="30" customHeight="1" x14ac:dyDescent="0.3">
      <c r="H378" s="21"/>
      <c r="K378" s="20"/>
    </row>
    <row r="379" spans="8:11" ht="30" customHeight="1" x14ac:dyDescent="0.3">
      <c r="H379" s="21"/>
      <c r="K379" s="20"/>
    </row>
    <row r="380" spans="8:11" ht="30" customHeight="1" x14ac:dyDescent="0.3">
      <c r="H380" s="21"/>
      <c r="K380" s="20"/>
    </row>
    <row r="381" spans="8:11" ht="30" customHeight="1" x14ac:dyDescent="0.3">
      <c r="H381" s="21"/>
      <c r="K381" s="20"/>
    </row>
    <row r="382" spans="8:11" ht="30" customHeight="1" x14ac:dyDescent="0.3">
      <c r="H382" s="21"/>
      <c r="K382" s="20"/>
    </row>
    <row r="383" spans="8:11" ht="30" customHeight="1" x14ac:dyDescent="0.3">
      <c r="H383" s="21"/>
      <c r="K383" s="20"/>
    </row>
    <row r="384" spans="8:11" ht="30" customHeight="1" x14ac:dyDescent="0.3">
      <c r="H384" s="21"/>
      <c r="K384" s="20"/>
    </row>
    <row r="385" spans="8:11" ht="30" customHeight="1" x14ac:dyDescent="0.3">
      <c r="H385" s="21"/>
      <c r="K385" s="20"/>
    </row>
    <row r="386" spans="8:11" ht="30" customHeight="1" x14ac:dyDescent="0.3">
      <c r="H386" s="21"/>
      <c r="K386" s="20"/>
    </row>
    <row r="387" spans="8:11" ht="30" customHeight="1" x14ac:dyDescent="0.3">
      <c r="H387" s="21"/>
      <c r="K387" s="20"/>
    </row>
    <row r="388" spans="8:11" ht="30" customHeight="1" x14ac:dyDescent="0.3">
      <c r="H388" s="21"/>
      <c r="K388" s="20"/>
    </row>
    <row r="389" spans="8:11" ht="30" customHeight="1" x14ac:dyDescent="0.3">
      <c r="H389" s="21"/>
      <c r="K389" s="20"/>
    </row>
    <row r="390" spans="8:11" ht="30" customHeight="1" x14ac:dyDescent="0.3">
      <c r="H390" s="21"/>
      <c r="K390" s="20"/>
    </row>
    <row r="391" spans="8:11" ht="30" customHeight="1" x14ac:dyDescent="0.3">
      <c r="H391" s="21"/>
      <c r="K391" s="20"/>
    </row>
    <row r="392" spans="8:11" ht="30" customHeight="1" x14ac:dyDescent="0.3">
      <c r="H392" s="21"/>
      <c r="K392" s="20"/>
    </row>
    <row r="393" spans="8:11" ht="30" customHeight="1" x14ac:dyDescent="0.3">
      <c r="H393" s="21"/>
      <c r="K393" s="20"/>
    </row>
    <row r="394" spans="8:11" ht="30" customHeight="1" x14ac:dyDescent="0.3">
      <c r="H394" s="21"/>
      <c r="K394" s="20"/>
    </row>
    <row r="395" spans="8:11" ht="30" customHeight="1" x14ac:dyDescent="0.3">
      <c r="H395" s="21"/>
      <c r="K395" s="20"/>
    </row>
    <row r="396" spans="8:11" ht="30" customHeight="1" x14ac:dyDescent="0.3">
      <c r="H396" s="21"/>
      <c r="K396" s="20"/>
    </row>
    <row r="397" spans="8:11" ht="30" customHeight="1" x14ac:dyDescent="0.3">
      <c r="H397" s="21"/>
      <c r="K397" s="20"/>
    </row>
    <row r="398" spans="8:11" ht="30" customHeight="1" x14ac:dyDescent="0.3">
      <c r="H398" s="21"/>
      <c r="K398" s="20"/>
    </row>
    <row r="399" spans="8:11" ht="30" customHeight="1" x14ac:dyDescent="0.3">
      <c r="H399" s="21"/>
      <c r="K399" s="20"/>
    </row>
    <row r="400" spans="8:11" ht="30" customHeight="1" x14ac:dyDescent="0.3">
      <c r="H400" s="21"/>
      <c r="K400" s="20"/>
    </row>
    <row r="401" spans="8:11" ht="30" customHeight="1" x14ac:dyDescent="0.3">
      <c r="H401" s="21"/>
      <c r="K401" s="20"/>
    </row>
    <row r="402" spans="8:11" ht="30" customHeight="1" x14ac:dyDescent="0.3">
      <c r="H402" s="21"/>
      <c r="K402" s="20"/>
    </row>
    <row r="403" spans="8:11" ht="30" customHeight="1" x14ac:dyDescent="0.3">
      <c r="H403" s="21"/>
      <c r="K403" s="20"/>
    </row>
    <row r="404" spans="8:11" ht="30" customHeight="1" x14ac:dyDescent="0.3">
      <c r="H404" s="21"/>
      <c r="K404" s="20"/>
    </row>
    <row r="405" spans="8:11" ht="30" customHeight="1" x14ac:dyDescent="0.3">
      <c r="H405" s="21"/>
      <c r="K405" s="20"/>
    </row>
    <row r="406" spans="8:11" ht="30" customHeight="1" x14ac:dyDescent="0.3">
      <c r="H406" s="21"/>
      <c r="K406" s="20"/>
    </row>
    <row r="407" spans="8:11" ht="30" customHeight="1" x14ac:dyDescent="0.3">
      <c r="H407" s="21"/>
      <c r="K407" s="20"/>
    </row>
    <row r="408" spans="8:11" ht="30" customHeight="1" x14ac:dyDescent="0.3">
      <c r="H408" s="21"/>
      <c r="K408" s="20"/>
    </row>
    <row r="409" spans="8:11" ht="30" customHeight="1" x14ac:dyDescent="0.3">
      <c r="H409" s="21"/>
      <c r="K409" s="20"/>
    </row>
    <row r="410" spans="8:11" ht="30" customHeight="1" x14ac:dyDescent="0.3">
      <c r="H410" s="21"/>
      <c r="K410" s="20"/>
    </row>
    <row r="411" spans="8:11" ht="30" customHeight="1" x14ac:dyDescent="0.3">
      <c r="H411" s="21"/>
      <c r="K411" s="20"/>
    </row>
    <row r="412" spans="8:11" ht="30" customHeight="1" x14ac:dyDescent="0.3">
      <c r="H412" s="21"/>
      <c r="K412" s="20"/>
    </row>
    <row r="413" spans="8:11" ht="30" customHeight="1" x14ac:dyDescent="0.3">
      <c r="H413" s="21"/>
      <c r="K413" s="20"/>
    </row>
    <row r="414" spans="8:11" ht="30" customHeight="1" x14ac:dyDescent="0.3">
      <c r="H414" s="21"/>
      <c r="K414" s="20"/>
    </row>
    <row r="415" spans="8:11" ht="30" customHeight="1" x14ac:dyDescent="0.3">
      <c r="H415" s="21"/>
      <c r="K415" s="20"/>
    </row>
    <row r="416" spans="8:11" ht="30" customHeight="1" x14ac:dyDescent="0.3">
      <c r="H416" s="21"/>
      <c r="K416" s="20"/>
    </row>
    <row r="417" spans="8:11" ht="30" customHeight="1" x14ac:dyDescent="0.3">
      <c r="H417" s="21"/>
      <c r="K417" s="20"/>
    </row>
    <row r="418" spans="8:11" ht="30" customHeight="1" x14ac:dyDescent="0.3">
      <c r="H418" s="21"/>
      <c r="K418" s="20"/>
    </row>
    <row r="419" spans="8:11" ht="30" customHeight="1" x14ac:dyDescent="0.3">
      <c r="H419" s="21"/>
      <c r="K419" s="20"/>
    </row>
    <row r="420" spans="8:11" ht="30" customHeight="1" x14ac:dyDescent="0.3">
      <c r="H420" s="21"/>
      <c r="K420" s="20"/>
    </row>
    <row r="421" spans="8:11" ht="30" customHeight="1" x14ac:dyDescent="0.3">
      <c r="H421" s="21"/>
      <c r="K421" s="20"/>
    </row>
    <row r="422" spans="8:11" ht="30" customHeight="1" x14ac:dyDescent="0.3">
      <c r="H422" s="21"/>
      <c r="K422" s="20"/>
    </row>
    <row r="423" spans="8:11" ht="30" customHeight="1" x14ac:dyDescent="0.3">
      <c r="H423" s="21"/>
      <c r="K423" s="20"/>
    </row>
    <row r="424" spans="8:11" ht="30" customHeight="1" x14ac:dyDescent="0.3">
      <c r="H424" s="21"/>
      <c r="K424" s="20"/>
    </row>
    <row r="425" spans="8:11" ht="30" customHeight="1" x14ac:dyDescent="0.3">
      <c r="H425" s="21"/>
      <c r="K425" s="20"/>
    </row>
    <row r="426" spans="8:11" ht="30" customHeight="1" x14ac:dyDescent="0.3">
      <c r="H426" s="21"/>
      <c r="K426" s="20"/>
    </row>
    <row r="427" spans="8:11" ht="30" customHeight="1" x14ac:dyDescent="0.3">
      <c r="H427" s="21"/>
      <c r="K427" s="20"/>
    </row>
    <row r="428" spans="8:11" ht="30" customHeight="1" x14ac:dyDescent="0.3">
      <c r="H428" s="21"/>
      <c r="K428" s="20"/>
    </row>
    <row r="429" spans="8:11" ht="30" customHeight="1" x14ac:dyDescent="0.3">
      <c r="H429" s="21"/>
      <c r="K429" s="20"/>
    </row>
    <row r="430" spans="8:11" ht="30" customHeight="1" x14ac:dyDescent="0.3">
      <c r="H430" s="21"/>
      <c r="K430" s="20"/>
    </row>
    <row r="431" spans="8:11" ht="30" customHeight="1" x14ac:dyDescent="0.3">
      <c r="H431" s="21"/>
      <c r="K431" s="20"/>
    </row>
    <row r="432" spans="8:11" ht="30" customHeight="1" x14ac:dyDescent="0.3">
      <c r="H432" s="21"/>
      <c r="K432" s="20"/>
    </row>
    <row r="433" spans="8:11" ht="30" customHeight="1" x14ac:dyDescent="0.3">
      <c r="H433" s="21"/>
      <c r="K433" s="20"/>
    </row>
    <row r="434" spans="8:11" ht="30" customHeight="1" x14ac:dyDescent="0.3">
      <c r="H434" s="21"/>
      <c r="K434" s="20"/>
    </row>
    <row r="435" spans="8:11" ht="30" customHeight="1" x14ac:dyDescent="0.3">
      <c r="H435" s="21"/>
      <c r="K435" s="20"/>
    </row>
    <row r="436" spans="8:11" ht="30" customHeight="1" x14ac:dyDescent="0.3">
      <c r="H436" s="21"/>
      <c r="K436" s="20"/>
    </row>
    <row r="437" spans="8:11" ht="30" customHeight="1" x14ac:dyDescent="0.3">
      <c r="H437" s="21"/>
      <c r="K437" s="20"/>
    </row>
    <row r="438" spans="8:11" ht="30" customHeight="1" x14ac:dyDescent="0.3">
      <c r="H438" s="21"/>
      <c r="K438" s="20"/>
    </row>
    <row r="439" spans="8:11" ht="30" customHeight="1" x14ac:dyDescent="0.3">
      <c r="H439" s="21"/>
      <c r="K439" s="20"/>
    </row>
    <row r="440" spans="8:11" ht="30" customHeight="1" x14ac:dyDescent="0.3">
      <c r="H440" s="21"/>
      <c r="K440" s="20"/>
    </row>
    <row r="441" spans="8:11" ht="30" customHeight="1" x14ac:dyDescent="0.3">
      <c r="H441" s="21"/>
      <c r="K441" s="20"/>
    </row>
    <row r="442" spans="8:11" ht="30" customHeight="1" x14ac:dyDescent="0.3">
      <c r="H442" s="21"/>
      <c r="K442" s="20"/>
    </row>
    <row r="443" spans="8:11" ht="30" customHeight="1" x14ac:dyDescent="0.3">
      <c r="H443" s="21"/>
      <c r="K443" s="20"/>
    </row>
    <row r="444" spans="8:11" ht="30" customHeight="1" x14ac:dyDescent="0.3">
      <c r="H444" s="21"/>
      <c r="K444" s="20"/>
    </row>
    <row r="445" spans="8:11" ht="30" customHeight="1" x14ac:dyDescent="0.3">
      <c r="H445" s="21"/>
      <c r="K445" s="20"/>
    </row>
    <row r="446" spans="8:11" ht="30" customHeight="1" x14ac:dyDescent="0.3">
      <c r="H446" s="21"/>
      <c r="K446" s="20"/>
    </row>
    <row r="447" spans="8:11" ht="30" customHeight="1" x14ac:dyDescent="0.3">
      <c r="H447" s="21"/>
      <c r="K447" s="20"/>
    </row>
    <row r="448" spans="8:11" ht="30" customHeight="1" x14ac:dyDescent="0.3">
      <c r="H448" s="21"/>
      <c r="K448" s="20"/>
    </row>
    <row r="449" spans="8:11" ht="30" customHeight="1" x14ac:dyDescent="0.3">
      <c r="H449" s="21"/>
      <c r="K449" s="20"/>
    </row>
    <row r="450" spans="8:11" ht="30" customHeight="1" x14ac:dyDescent="0.3">
      <c r="H450" s="21"/>
      <c r="K450" s="20"/>
    </row>
    <row r="451" spans="8:11" ht="30" customHeight="1" x14ac:dyDescent="0.3">
      <c r="H451" s="21"/>
      <c r="K451" s="20"/>
    </row>
    <row r="452" spans="8:11" ht="30" customHeight="1" x14ac:dyDescent="0.3">
      <c r="H452" s="21"/>
      <c r="K452" s="20"/>
    </row>
    <row r="453" spans="8:11" ht="30" customHeight="1" x14ac:dyDescent="0.3">
      <c r="H453" s="21"/>
      <c r="K453" s="20"/>
    </row>
    <row r="454" spans="8:11" ht="30" customHeight="1" x14ac:dyDescent="0.3">
      <c r="H454" s="21"/>
      <c r="K454" s="20"/>
    </row>
    <row r="455" spans="8:11" ht="30" customHeight="1" x14ac:dyDescent="0.3">
      <c r="H455" s="21"/>
      <c r="K455" s="20"/>
    </row>
    <row r="456" spans="8:11" ht="30" customHeight="1" x14ac:dyDescent="0.3">
      <c r="H456" s="21"/>
      <c r="K456" s="20"/>
    </row>
    <row r="457" spans="8:11" ht="30" customHeight="1" x14ac:dyDescent="0.3">
      <c r="H457" s="21"/>
      <c r="K457" s="20"/>
    </row>
    <row r="458" spans="8:11" ht="30" customHeight="1" x14ac:dyDescent="0.3">
      <c r="H458" s="21"/>
      <c r="K458" s="20"/>
    </row>
    <row r="459" spans="8:11" ht="30" customHeight="1" x14ac:dyDescent="0.3">
      <c r="H459" s="21"/>
      <c r="K459" s="20"/>
    </row>
    <row r="460" spans="8:11" ht="30" customHeight="1" x14ac:dyDescent="0.3">
      <c r="H460" s="21"/>
      <c r="K460" s="20"/>
    </row>
    <row r="461" spans="8:11" ht="30" customHeight="1" x14ac:dyDescent="0.3">
      <c r="H461" s="21"/>
      <c r="K461" s="20"/>
    </row>
    <row r="462" spans="8:11" ht="30" customHeight="1" x14ac:dyDescent="0.3">
      <c r="H462" s="21"/>
      <c r="K462" s="20"/>
    </row>
    <row r="463" spans="8:11" ht="30" customHeight="1" x14ac:dyDescent="0.3">
      <c r="H463" s="21"/>
      <c r="K463" s="20"/>
    </row>
    <row r="464" spans="8:11" ht="30" customHeight="1" x14ac:dyDescent="0.3">
      <c r="H464" s="21"/>
      <c r="K464" s="20"/>
    </row>
    <row r="465" spans="8:11" ht="30" customHeight="1" x14ac:dyDescent="0.3">
      <c r="H465" s="21"/>
      <c r="K465" s="20"/>
    </row>
    <row r="466" spans="8:11" ht="30" customHeight="1" x14ac:dyDescent="0.3">
      <c r="H466" s="21"/>
      <c r="K466" s="20"/>
    </row>
    <row r="467" spans="8:11" ht="30" customHeight="1" x14ac:dyDescent="0.3">
      <c r="H467" s="21"/>
      <c r="K467" s="20"/>
    </row>
    <row r="468" spans="8:11" ht="30" customHeight="1" x14ac:dyDescent="0.3">
      <c r="H468" s="21"/>
      <c r="K468" s="20"/>
    </row>
    <row r="469" spans="8:11" ht="30" customHeight="1" x14ac:dyDescent="0.3">
      <c r="H469" s="21"/>
      <c r="K469" s="20"/>
    </row>
    <row r="470" spans="8:11" ht="30" customHeight="1" x14ac:dyDescent="0.3">
      <c r="H470" s="21"/>
      <c r="K470" s="20"/>
    </row>
    <row r="471" spans="8:11" ht="30" customHeight="1" x14ac:dyDescent="0.3">
      <c r="H471" s="21"/>
      <c r="K471" s="20"/>
    </row>
    <row r="472" spans="8:11" ht="30" customHeight="1" x14ac:dyDescent="0.3">
      <c r="H472" s="21"/>
      <c r="K472" s="20"/>
    </row>
    <row r="473" spans="8:11" ht="30" customHeight="1" x14ac:dyDescent="0.3">
      <c r="H473" s="21"/>
      <c r="K473" s="20"/>
    </row>
    <row r="474" spans="8:11" ht="30" customHeight="1" x14ac:dyDescent="0.3">
      <c r="H474" s="21"/>
      <c r="K474" s="20"/>
    </row>
    <row r="475" spans="8:11" ht="30" customHeight="1" x14ac:dyDescent="0.3">
      <c r="H475" s="21"/>
      <c r="K475" s="20"/>
    </row>
    <row r="476" spans="8:11" ht="30" customHeight="1" x14ac:dyDescent="0.3">
      <c r="H476" s="21"/>
      <c r="K476" s="20"/>
    </row>
    <row r="477" spans="8:11" ht="30" customHeight="1" x14ac:dyDescent="0.3">
      <c r="H477" s="21"/>
      <c r="K477" s="20"/>
    </row>
    <row r="478" spans="8:11" ht="30" customHeight="1" x14ac:dyDescent="0.3">
      <c r="H478" s="21"/>
      <c r="K478" s="20"/>
    </row>
    <row r="479" spans="8:11" ht="30" customHeight="1" x14ac:dyDescent="0.3">
      <c r="H479" s="21"/>
      <c r="K479" s="20"/>
    </row>
    <row r="480" spans="8:11" ht="30" customHeight="1" x14ac:dyDescent="0.3">
      <c r="H480" s="21"/>
      <c r="K480" s="20"/>
    </row>
    <row r="481" spans="8:11" ht="30" customHeight="1" x14ac:dyDescent="0.3">
      <c r="H481" s="21"/>
      <c r="K481" s="20"/>
    </row>
    <row r="482" spans="8:11" ht="30" customHeight="1" x14ac:dyDescent="0.3">
      <c r="H482" s="21"/>
      <c r="K482" s="20"/>
    </row>
    <row r="483" spans="8:11" ht="30" customHeight="1" x14ac:dyDescent="0.3">
      <c r="H483" s="21"/>
      <c r="K483" s="20"/>
    </row>
    <row r="484" spans="8:11" ht="30" customHeight="1" x14ac:dyDescent="0.3">
      <c r="H484" s="21"/>
      <c r="K484" s="20"/>
    </row>
    <row r="485" spans="8:11" ht="30" customHeight="1" x14ac:dyDescent="0.3">
      <c r="H485" s="21"/>
      <c r="K485" s="20"/>
    </row>
    <row r="486" spans="8:11" ht="30" customHeight="1" x14ac:dyDescent="0.3">
      <c r="H486" s="21"/>
      <c r="K486" s="20"/>
    </row>
    <row r="487" spans="8:11" ht="30" customHeight="1" x14ac:dyDescent="0.3">
      <c r="H487" s="21"/>
      <c r="K487" s="20"/>
    </row>
    <row r="488" spans="8:11" ht="30" customHeight="1" x14ac:dyDescent="0.3">
      <c r="H488" s="21"/>
      <c r="K488" s="20"/>
    </row>
    <row r="489" spans="8:11" ht="30" customHeight="1" x14ac:dyDescent="0.3">
      <c r="H489" s="21"/>
      <c r="K489" s="20"/>
    </row>
    <row r="490" spans="8:11" ht="30" customHeight="1" x14ac:dyDescent="0.3">
      <c r="H490" s="21"/>
      <c r="K490" s="20"/>
    </row>
    <row r="491" spans="8:11" ht="30" customHeight="1" x14ac:dyDescent="0.3">
      <c r="H491" s="21"/>
      <c r="K491" s="20"/>
    </row>
    <row r="492" spans="8:11" ht="30" customHeight="1" x14ac:dyDescent="0.3">
      <c r="H492" s="21"/>
      <c r="K492" s="20"/>
    </row>
    <row r="493" spans="8:11" ht="30" customHeight="1" x14ac:dyDescent="0.3">
      <c r="H493" s="21"/>
      <c r="K493" s="20"/>
    </row>
    <row r="494" spans="8:11" ht="30" customHeight="1" x14ac:dyDescent="0.3">
      <c r="H494" s="21"/>
      <c r="K494" s="20"/>
    </row>
    <row r="495" spans="8:11" ht="30" customHeight="1" x14ac:dyDescent="0.3">
      <c r="H495" s="21"/>
      <c r="K495" s="20"/>
    </row>
    <row r="496" spans="8:11" ht="30" customHeight="1" x14ac:dyDescent="0.3">
      <c r="H496" s="21"/>
      <c r="K496" s="20"/>
    </row>
    <row r="497" spans="8:11" ht="30" customHeight="1" x14ac:dyDescent="0.3">
      <c r="H497" s="21"/>
      <c r="K497" s="20"/>
    </row>
    <row r="498" spans="8:11" ht="30" customHeight="1" x14ac:dyDescent="0.3">
      <c r="H498" s="21"/>
      <c r="K498" s="20"/>
    </row>
    <row r="499" spans="8:11" ht="30" customHeight="1" x14ac:dyDescent="0.3">
      <c r="H499" s="21"/>
      <c r="K499" s="20"/>
    </row>
    <row r="500" spans="8:11" ht="30" customHeight="1" x14ac:dyDescent="0.3">
      <c r="H500" s="21"/>
      <c r="K500" s="20"/>
    </row>
    <row r="501" spans="8:11" ht="30" customHeight="1" x14ac:dyDescent="0.3">
      <c r="H501" s="21"/>
      <c r="K501" s="20"/>
    </row>
    <row r="502" spans="8:11" ht="30" customHeight="1" x14ac:dyDescent="0.3">
      <c r="H502" s="21"/>
      <c r="K502" s="20"/>
    </row>
    <row r="503" spans="8:11" ht="30" customHeight="1" x14ac:dyDescent="0.3">
      <c r="H503" s="21"/>
      <c r="K503" s="20"/>
    </row>
    <row r="504" spans="8:11" ht="30" customHeight="1" x14ac:dyDescent="0.3">
      <c r="H504" s="21"/>
      <c r="K504" s="20"/>
    </row>
    <row r="505" spans="8:11" ht="30" customHeight="1" x14ac:dyDescent="0.3">
      <c r="H505" s="21"/>
      <c r="K505" s="20"/>
    </row>
    <row r="506" spans="8:11" ht="30" customHeight="1" x14ac:dyDescent="0.3">
      <c r="H506" s="21"/>
      <c r="K506" s="20"/>
    </row>
    <row r="507" spans="8:11" ht="30" customHeight="1" x14ac:dyDescent="0.3">
      <c r="H507" s="21"/>
      <c r="K507" s="20"/>
    </row>
    <row r="508" spans="8:11" ht="30" customHeight="1" x14ac:dyDescent="0.3">
      <c r="H508" s="21"/>
      <c r="K508" s="20"/>
    </row>
    <row r="509" spans="8:11" ht="30" customHeight="1" x14ac:dyDescent="0.3">
      <c r="H509" s="21"/>
      <c r="K509" s="20"/>
    </row>
    <row r="510" spans="8:11" ht="30" customHeight="1" x14ac:dyDescent="0.3">
      <c r="H510" s="21"/>
      <c r="K510" s="20"/>
    </row>
    <row r="511" spans="8:11" ht="30" customHeight="1" x14ac:dyDescent="0.3">
      <c r="H511" s="21"/>
      <c r="K511" s="20"/>
    </row>
    <row r="512" spans="8:11" ht="30" customHeight="1" x14ac:dyDescent="0.3">
      <c r="H512" s="21"/>
      <c r="K512" s="20"/>
    </row>
    <row r="513" spans="8:11" ht="30" customHeight="1" x14ac:dyDescent="0.3">
      <c r="H513" s="21"/>
      <c r="K513" s="20"/>
    </row>
    <row r="514" spans="8:11" ht="30" customHeight="1" x14ac:dyDescent="0.3">
      <c r="H514" s="21"/>
      <c r="K514" s="20"/>
    </row>
    <row r="515" spans="8:11" ht="30" customHeight="1" x14ac:dyDescent="0.3">
      <c r="H515" s="21"/>
      <c r="K515" s="20"/>
    </row>
    <row r="516" spans="8:11" ht="30" customHeight="1" x14ac:dyDescent="0.3">
      <c r="H516" s="21"/>
      <c r="K516" s="20"/>
    </row>
    <row r="517" spans="8:11" ht="30" customHeight="1" x14ac:dyDescent="0.3">
      <c r="H517" s="21"/>
      <c r="K517" s="20"/>
    </row>
    <row r="518" spans="8:11" ht="30" customHeight="1" x14ac:dyDescent="0.3">
      <c r="H518" s="21"/>
      <c r="K518" s="20"/>
    </row>
    <row r="519" spans="8:11" ht="30" customHeight="1" x14ac:dyDescent="0.3">
      <c r="H519" s="21"/>
      <c r="K519" s="20"/>
    </row>
    <row r="520" spans="8:11" ht="30" customHeight="1" x14ac:dyDescent="0.3">
      <c r="H520" s="21"/>
      <c r="K520" s="20"/>
    </row>
    <row r="521" spans="8:11" ht="30" customHeight="1" x14ac:dyDescent="0.3">
      <c r="H521" s="21"/>
      <c r="K521" s="20"/>
    </row>
    <row r="522" spans="8:11" ht="30" customHeight="1" x14ac:dyDescent="0.3">
      <c r="H522" s="21"/>
      <c r="K522" s="20"/>
    </row>
    <row r="523" spans="8:11" ht="30" customHeight="1" x14ac:dyDescent="0.3">
      <c r="H523" s="21"/>
      <c r="K523" s="20"/>
    </row>
    <row r="524" spans="8:11" ht="30" customHeight="1" x14ac:dyDescent="0.3">
      <c r="H524" s="21"/>
      <c r="K524" s="20"/>
    </row>
    <row r="525" spans="8:11" ht="30" customHeight="1" x14ac:dyDescent="0.3">
      <c r="H525" s="21"/>
      <c r="K525" s="20"/>
    </row>
    <row r="526" spans="8:11" ht="30" customHeight="1" x14ac:dyDescent="0.3">
      <c r="H526" s="21"/>
      <c r="K526" s="20"/>
    </row>
    <row r="527" spans="8:11" ht="30" customHeight="1" x14ac:dyDescent="0.3">
      <c r="H527" s="21"/>
      <c r="K527" s="20"/>
    </row>
    <row r="528" spans="8:11" ht="30" customHeight="1" x14ac:dyDescent="0.3">
      <c r="H528" s="21"/>
      <c r="K528" s="20"/>
    </row>
    <row r="529" spans="8:11" ht="30" customHeight="1" x14ac:dyDescent="0.3">
      <c r="H529" s="21"/>
      <c r="K529" s="20"/>
    </row>
    <row r="530" spans="8:11" ht="30" customHeight="1" x14ac:dyDescent="0.3">
      <c r="H530" s="21"/>
      <c r="K530" s="20"/>
    </row>
    <row r="531" spans="8:11" ht="30" customHeight="1" x14ac:dyDescent="0.3">
      <c r="H531" s="21"/>
      <c r="K531" s="20"/>
    </row>
    <row r="532" spans="8:11" ht="30" customHeight="1" x14ac:dyDescent="0.3">
      <c r="H532" s="21"/>
      <c r="K532" s="20"/>
    </row>
    <row r="533" spans="8:11" ht="30" customHeight="1" x14ac:dyDescent="0.3">
      <c r="H533" s="21"/>
      <c r="K533" s="20"/>
    </row>
    <row r="534" spans="8:11" ht="30" customHeight="1" x14ac:dyDescent="0.3">
      <c r="H534" s="21"/>
      <c r="K534" s="20"/>
    </row>
    <row r="535" spans="8:11" ht="30" customHeight="1" x14ac:dyDescent="0.3">
      <c r="H535" s="21"/>
      <c r="K535" s="20"/>
    </row>
    <row r="536" spans="8:11" ht="30" customHeight="1" x14ac:dyDescent="0.3">
      <c r="H536" s="21"/>
      <c r="K536" s="20"/>
    </row>
    <row r="537" spans="8:11" ht="30" customHeight="1" x14ac:dyDescent="0.3">
      <c r="H537" s="21"/>
      <c r="K537" s="20"/>
    </row>
    <row r="538" spans="8:11" ht="30" customHeight="1" x14ac:dyDescent="0.3">
      <c r="H538" s="21"/>
      <c r="K538" s="20"/>
    </row>
    <row r="539" spans="8:11" ht="30" customHeight="1" x14ac:dyDescent="0.3">
      <c r="H539" s="21"/>
      <c r="K539" s="20"/>
    </row>
    <row r="540" spans="8:11" ht="30" customHeight="1" x14ac:dyDescent="0.3">
      <c r="H540" s="21"/>
      <c r="K540" s="20"/>
    </row>
    <row r="541" spans="8:11" ht="30" customHeight="1" x14ac:dyDescent="0.3">
      <c r="H541" s="21"/>
      <c r="K541" s="20"/>
    </row>
    <row r="542" spans="8:11" ht="30" customHeight="1" x14ac:dyDescent="0.3">
      <c r="H542" s="21"/>
      <c r="K542" s="20"/>
    </row>
    <row r="543" spans="8:11" ht="30" customHeight="1" x14ac:dyDescent="0.3">
      <c r="H543" s="21"/>
      <c r="K543" s="20"/>
    </row>
    <row r="544" spans="8:11" ht="30" customHeight="1" x14ac:dyDescent="0.3">
      <c r="H544" s="21"/>
      <c r="K544" s="20"/>
    </row>
    <row r="545" spans="8:11" ht="30" customHeight="1" x14ac:dyDescent="0.3">
      <c r="H545" s="21"/>
      <c r="K545" s="20"/>
    </row>
    <row r="546" spans="8:11" ht="30" customHeight="1" x14ac:dyDescent="0.3">
      <c r="H546" s="21"/>
      <c r="K546" s="20"/>
    </row>
    <row r="547" spans="8:11" ht="30" customHeight="1" x14ac:dyDescent="0.3">
      <c r="H547" s="21"/>
      <c r="K547" s="20"/>
    </row>
    <row r="548" spans="8:11" ht="30" customHeight="1" x14ac:dyDescent="0.3">
      <c r="H548" s="21"/>
      <c r="K548" s="20"/>
    </row>
    <row r="549" spans="8:11" ht="30" customHeight="1" x14ac:dyDescent="0.3">
      <c r="H549" s="21"/>
      <c r="K549" s="20"/>
    </row>
    <row r="550" spans="8:11" ht="30" customHeight="1" x14ac:dyDescent="0.3">
      <c r="H550" s="21"/>
      <c r="K550" s="20"/>
    </row>
    <row r="551" spans="8:11" ht="30" customHeight="1" x14ac:dyDescent="0.3">
      <c r="H551" s="21"/>
      <c r="K551" s="20"/>
    </row>
    <row r="552" spans="8:11" ht="30" customHeight="1" x14ac:dyDescent="0.3">
      <c r="H552" s="21"/>
      <c r="K552" s="20"/>
    </row>
    <row r="553" spans="8:11" ht="30" customHeight="1" x14ac:dyDescent="0.3">
      <c r="H553" s="21"/>
      <c r="K553" s="20"/>
    </row>
    <row r="554" spans="8:11" ht="30" customHeight="1" x14ac:dyDescent="0.3">
      <c r="H554" s="21"/>
      <c r="K554" s="20"/>
    </row>
    <row r="555" spans="8:11" ht="30" customHeight="1" x14ac:dyDescent="0.3">
      <c r="H555" s="21"/>
      <c r="K555" s="20"/>
    </row>
    <row r="556" spans="8:11" ht="30" customHeight="1" x14ac:dyDescent="0.3">
      <c r="H556" s="21"/>
      <c r="K556" s="20"/>
    </row>
    <row r="557" spans="8:11" ht="30" customHeight="1" x14ac:dyDescent="0.3">
      <c r="H557" s="21"/>
      <c r="K557" s="20"/>
    </row>
    <row r="558" spans="8:11" ht="30" customHeight="1" x14ac:dyDescent="0.3">
      <c r="H558" s="21"/>
      <c r="K558" s="20"/>
    </row>
    <row r="559" spans="8:11" ht="30" customHeight="1" x14ac:dyDescent="0.3">
      <c r="H559" s="21"/>
      <c r="K559" s="20"/>
    </row>
    <row r="560" spans="8:11" ht="30" customHeight="1" x14ac:dyDescent="0.3">
      <c r="H560" s="21"/>
      <c r="K560" s="20"/>
    </row>
    <row r="561" spans="8:11" ht="30" customHeight="1" x14ac:dyDescent="0.3">
      <c r="H561" s="21"/>
      <c r="K561" s="20"/>
    </row>
    <row r="562" spans="8:11" ht="30" customHeight="1" x14ac:dyDescent="0.3">
      <c r="H562" s="21"/>
      <c r="K562" s="20"/>
    </row>
    <row r="563" spans="8:11" ht="30" customHeight="1" x14ac:dyDescent="0.3">
      <c r="H563" s="21"/>
      <c r="K563" s="20"/>
    </row>
    <row r="564" spans="8:11" ht="30" customHeight="1" x14ac:dyDescent="0.3">
      <c r="H564" s="21"/>
      <c r="K564" s="20"/>
    </row>
    <row r="565" spans="8:11" ht="30" customHeight="1" x14ac:dyDescent="0.3">
      <c r="H565" s="21"/>
      <c r="K565" s="20"/>
    </row>
    <row r="566" spans="8:11" ht="30" customHeight="1" x14ac:dyDescent="0.3">
      <c r="H566" s="21"/>
      <c r="K566" s="20"/>
    </row>
    <row r="567" spans="8:11" ht="30" customHeight="1" x14ac:dyDescent="0.3">
      <c r="H567" s="21"/>
      <c r="K567" s="20"/>
    </row>
    <row r="568" spans="8:11" ht="30" customHeight="1" x14ac:dyDescent="0.3">
      <c r="H568" s="21"/>
      <c r="K568" s="20"/>
    </row>
    <row r="569" spans="8:11" ht="30" customHeight="1" x14ac:dyDescent="0.3">
      <c r="H569" s="21"/>
      <c r="K569" s="20"/>
    </row>
    <row r="570" spans="8:11" ht="30" customHeight="1" x14ac:dyDescent="0.3">
      <c r="H570" s="21"/>
      <c r="K570" s="20"/>
    </row>
    <row r="571" spans="8:11" ht="30" customHeight="1" x14ac:dyDescent="0.3">
      <c r="H571" s="21"/>
      <c r="K571" s="20"/>
    </row>
    <row r="572" spans="8:11" ht="30" customHeight="1" x14ac:dyDescent="0.3">
      <c r="H572" s="21"/>
      <c r="K572" s="20"/>
    </row>
    <row r="573" spans="8:11" ht="30" customHeight="1" x14ac:dyDescent="0.3">
      <c r="H573" s="21"/>
      <c r="K573" s="20"/>
    </row>
    <row r="574" spans="8:11" ht="30" customHeight="1" x14ac:dyDescent="0.3">
      <c r="H574" s="21"/>
      <c r="K574" s="20"/>
    </row>
    <row r="575" spans="8:11" ht="30" customHeight="1" x14ac:dyDescent="0.3">
      <c r="H575" s="21"/>
      <c r="K575" s="20"/>
    </row>
    <row r="576" spans="8:11" ht="30" customHeight="1" x14ac:dyDescent="0.3">
      <c r="H576" s="21"/>
      <c r="K576" s="20"/>
    </row>
    <row r="577" spans="8:11" ht="30" customHeight="1" x14ac:dyDescent="0.3">
      <c r="H577" s="21"/>
      <c r="K577" s="20"/>
    </row>
    <row r="578" spans="8:11" ht="30" customHeight="1" x14ac:dyDescent="0.3">
      <c r="H578" s="21"/>
      <c r="K578" s="20"/>
    </row>
    <row r="579" spans="8:11" ht="30" customHeight="1" x14ac:dyDescent="0.3">
      <c r="H579" s="21"/>
      <c r="K579" s="20"/>
    </row>
    <row r="580" spans="8:11" ht="30" customHeight="1" x14ac:dyDescent="0.3">
      <c r="H580" s="21"/>
      <c r="K580" s="20"/>
    </row>
    <row r="581" spans="8:11" ht="30" customHeight="1" x14ac:dyDescent="0.3">
      <c r="H581" s="21"/>
      <c r="K581" s="20"/>
    </row>
    <row r="582" spans="8:11" ht="30" customHeight="1" x14ac:dyDescent="0.3">
      <c r="H582" s="21"/>
      <c r="K582" s="20"/>
    </row>
    <row r="583" spans="8:11" ht="30" customHeight="1" x14ac:dyDescent="0.3">
      <c r="H583" s="21"/>
      <c r="K583" s="20"/>
    </row>
    <row r="584" spans="8:11" ht="30" customHeight="1" x14ac:dyDescent="0.3">
      <c r="H584" s="21"/>
      <c r="K584" s="20"/>
    </row>
    <row r="585" spans="8:11" ht="30" customHeight="1" x14ac:dyDescent="0.3">
      <c r="H585" s="21"/>
      <c r="K585" s="20"/>
    </row>
    <row r="586" spans="8:11" ht="30" customHeight="1" x14ac:dyDescent="0.3">
      <c r="H586" s="21"/>
      <c r="K586" s="20"/>
    </row>
    <row r="587" spans="8:11" ht="30" customHeight="1" x14ac:dyDescent="0.3">
      <c r="H587" s="21"/>
      <c r="K587" s="20"/>
    </row>
    <row r="588" spans="8:11" ht="30" customHeight="1" x14ac:dyDescent="0.3">
      <c r="H588" s="21"/>
      <c r="K588" s="20"/>
    </row>
    <row r="589" spans="8:11" ht="30" customHeight="1" x14ac:dyDescent="0.3">
      <c r="H589" s="21"/>
      <c r="K589" s="20"/>
    </row>
    <row r="590" spans="8:11" ht="30" customHeight="1" x14ac:dyDescent="0.3">
      <c r="H590" s="21"/>
      <c r="K590" s="20"/>
    </row>
    <row r="591" spans="8:11" ht="30" customHeight="1" x14ac:dyDescent="0.3">
      <c r="H591" s="21"/>
      <c r="K591" s="20"/>
    </row>
    <row r="592" spans="8:11" ht="30" customHeight="1" x14ac:dyDescent="0.3">
      <c r="H592" s="21"/>
      <c r="K592" s="20"/>
    </row>
    <row r="593" spans="8:11" ht="30" customHeight="1" x14ac:dyDescent="0.3">
      <c r="H593" s="21"/>
      <c r="K593" s="20"/>
    </row>
    <row r="594" spans="8:11" ht="30" customHeight="1" x14ac:dyDescent="0.3">
      <c r="H594" s="21"/>
      <c r="K594" s="20"/>
    </row>
    <row r="595" spans="8:11" ht="30" customHeight="1" x14ac:dyDescent="0.3">
      <c r="H595" s="21"/>
      <c r="K595" s="20"/>
    </row>
    <row r="596" spans="8:11" ht="30" customHeight="1" x14ac:dyDescent="0.3">
      <c r="H596" s="21"/>
      <c r="K596" s="20"/>
    </row>
    <row r="597" spans="8:11" ht="30" customHeight="1" x14ac:dyDescent="0.3">
      <c r="H597" s="21"/>
      <c r="K597" s="20"/>
    </row>
    <row r="598" spans="8:11" ht="30" customHeight="1" x14ac:dyDescent="0.3">
      <c r="H598" s="21"/>
      <c r="K598" s="20"/>
    </row>
    <row r="599" spans="8:11" ht="30" customHeight="1" x14ac:dyDescent="0.3">
      <c r="H599" s="21"/>
      <c r="K599" s="20"/>
    </row>
    <row r="600" spans="8:11" ht="30" customHeight="1" x14ac:dyDescent="0.3">
      <c r="H600" s="21"/>
      <c r="K600" s="20"/>
    </row>
    <row r="601" spans="8:11" ht="30" customHeight="1" x14ac:dyDescent="0.3">
      <c r="H601" s="21"/>
      <c r="K601" s="20"/>
    </row>
    <row r="602" spans="8:11" ht="30" customHeight="1" x14ac:dyDescent="0.3">
      <c r="H602" s="21"/>
      <c r="K602" s="20"/>
    </row>
    <row r="603" spans="8:11" ht="30" customHeight="1" x14ac:dyDescent="0.3">
      <c r="H603" s="21"/>
      <c r="K603" s="20"/>
    </row>
    <row r="604" spans="8:11" ht="30" customHeight="1" x14ac:dyDescent="0.3">
      <c r="H604" s="21"/>
      <c r="K604" s="20"/>
    </row>
    <row r="605" spans="8:11" ht="30" customHeight="1" x14ac:dyDescent="0.3">
      <c r="H605" s="21"/>
      <c r="K605" s="20"/>
    </row>
    <row r="606" spans="8:11" ht="30" customHeight="1" x14ac:dyDescent="0.3">
      <c r="H606" s="21"/>
      <c r="K606" s="20"/>
    </row>
    <row r="607" spans="8:11" ht="30" customHeight="1" x14ac:dyDescent="0.3">
      <c r="H607" s="21"/>
      <c r="K607" s="20"/>
    </row>
    <row r="608" spans="8:11" ht="30" customHeight="1" x14ac:dyDescent="0.3">
      <c r="H608" s="21"/>
      <c r="K608" s="20"/>
    </row>
    <row r="609" spans="8:11" ht="30" customHeight="1" x14ac:dyDescent="0.3">
      <c r="H609" s="21"/>
      <c r="K609" s="20"/>
    </row>
    <row r="610" spans="8:11" ht="30" customHeight="1" x14ac:dyDescent="0.3">
      <c r="H610" s="21"/>
      <c r="K610" s="20"/>
    </row>
    <row r="611" spans="8:11" ht="30" customHeight="1" x14ac:dyDescent="0.3">
      <c r="H611" s="21"/>
      <c r="K611" s="20"/>
    </row>
    <row r="612" spans="8:11" ht="30" customHeight="1" x14ac:dyDescent="0.3">
      <c r="H612" s="21"/>
      <c r="K612" s="20"/>
    </row>
    <row r="613" spans="8:11" ht="30" customHeight="1" x14ac:dyDescent="0.3">
      <c r="H613" s="21"/>
      <c r="K613" s="20"/>
    </row>
    <row r="614" spans="8:11" ht="30" customHeight="1" x14ac:dyDescent="0.3">
      <c r="H614" s="21"/>
      <c r="K614" s="20"/>
    </row>
    <row r="615" spans="8:11" ht="30" customHeight="1" x14ac:dyDescent="0.3">
      <c r="H615" s="21"/>
      <c r="K615" s="20"/>
    </row>
    <row r="616" spans="8:11" ht="30" customHeight="1" x14ac:dyDescent="0.3">
      <c r="H616" s="21"/>
      <c r="K616" s="20"/>
    </row>
    <row r="617" spans="8:11" ht="30" customHeight="1" x14ac:dyDescent="0.3">
      <c r="H617" s="21"/>
      <c r="K617" s="20"/>
    </row>
    <row r="618" spans="8:11" ht="30" customHeight="1" x14ac:dyDescent="0.3">
      <c r="H618" s="21"/>
      <c r="K618" s="20"/>
    </row>
    <row r="619" spans="8:11" ht="30" customHeight="1" x14ac:dyDescent="0.3">
      <c r="H619" s="21"/>
      <c r="K619" s="20"/>
    </row>
    <row r="620" spans="8:11" ht="30" customHeight="1" x14ac:dyDescent="0.3">
      <c r="H620" s="21"/>
      <c r="K620" s="20"/>
    </row>
    <row r="621" spans="8:11" ht="30" customHeight="1" x14ac:dyDescent="0.3">
      <c r="H621" s="21"/>
      <c r="K621" s="20"/>
    </row>
    <row r="622" spans="8:11" ht="30" customHeight="1" x14ac:dyDescent="0.3">
      <c r="H622" s="21"/>
      <c r="K622" s="20"/>
    </row>
    <row r="623" spans="8:11" ht="30" customHeight="1" x14ac:dyDescent="0.3">
      <c r="H623" s="21"/>
      <c r="K623" s="20"/>
    </row>
    <row r="624" spans="8:11" ht="30" customHeight="1" x14ac:dyDescent="0.3">
      <c r="H624" s="21"/>
      <c r="K624" s="20"/>
    </row>
    <row r="625" spans="8:11" ht="30" customHeight="1" x14ac:dyDescent="0.3">
      <c r="H625" s="21"/>
      <c r="K625" s="20"/>
    </row>
    <row r="626" spans="8:11" ht="30" customHeight="1" x14ac:dyDescent="0.3">
      <c r="H626" s="21"/>
      <c r="K626" s="20"/>
    </row>
    <row r="627" spans="8:11" ht="30" customHeight="1" x14ac:dyDescent="0.3">
      <c r="H627" s="21"/>
      <c r="K627" s="20"/>
    </row>
    <row r="628" spans="8:11" ht="30" customHeight="1" x14ac:dyDescent="0.3">
      <c r="H628" s="21"/>
      <c r="K628" s="20"/>
    </row>
    <row r="629" spans="8:11" ht="30" customHeight="1" x14ac:dyDescent="0.3">
      <c r="H629" s="21"/>
      <c r="K629" s="20"/>
    </row>
    <row r="630" spans="8:11" ht="30" customHeight="1" x14ac:dyDescent="0.3">
      <c r="H630" s="21"/>
      <c r="K630" s="20"/>
    </row>
    <row r="631" spans="8:11" ht="30" customHeight="1" x14ac:dyDescent="0.3">
      <c r="H631" s="21"/>
      <c r="K631" s="20"/>
    </row>
    <row r="632" spans="8:11" ht="30" customHeight="1" x14ac:dyDescent="0.3">
      <c r="H632" s="21"/>
      <c r="K632" s="20"/>
    </row>
    <row r="633" spans="8:11" ht="30" customHeight="1" x14ac:dyDescent="0.3">
      <c r="H633" s="21"/>
      <c r="K633" s="20"/>
    </row>
    <row r="634" spans="8:11" ht="30" customHeight="1" x14ac:dyDescent="0.3">
      <c r="H634" s="21"/>
      <c r="K634" s="20"/>
    </row>
    <row r="635" spans="8:11" ht="30" customHeight="1" x14ac:dyDescent="0.3">
      <c r="H635" s="21"/>
      <c r="K635" s="20"/>
    </row>
    <row r="636" spans="8:11" ht="30" customHeight="1" x14ac:dyDescent="0.3">
      <c r="H636" s="21"/>
      <c r="K636" s="20"/>
    </row>
    <row r="637" spans="8:11" ht="30" customHeight="1" x14ac:dyDescent="0.3">
      <c r="H637" s="21"/>
      <c r="K637" s="20"/>
    </row>
    <row r="638" spans="8:11" ht="30" customHeight="1" x14ac:dyDescent="0.3">
      <c r="H638" s="21"/>
      <c r="K638" s="20"/>
    </row>
    <row r="639" spans="8:11" ht="30" customHeight="1" x14ac:dyDescent="0.3">
      <c r="H639" s="21"/>
      <c r="K639" s="20"/>
    </row>
    <row r="640" spans="8:11" ht="30" customHeight="1" x14ac:dyDescent="0.3">
      <c r="H640" s="21"/>
      <c r="K640" s="20"/>
    </row>
    <row r="641" spans="8:11" ht="30" customHeight="1" x14ac:dyDescent="0.3">
      <c r="H641" s="21"/>
      <c r="K641" s="20"/>
    </row>
    <row r="642" spans="8:11" ht="30" customHeight="1" x14ac:dyDescent="0.3">
      <c r="H642" s="21"/>
      <c r="K642" s="20"/>
    </row>
    <row r="643" spans="8:11" ht="30" customHeight="1" x14ac:dyDescent="0.3">
      <c r="H643" s="21"/>
      <c r="K643" s="20"/>
    </row>
    <row r="644" spans="8:11" ht="30" customHeight="1" x14ac:dyDescent="0.3">
      <c r="H644" s="21"/>
      <c r="K644" s="20"/>
    </row>
    <row r="645" spans="8:11" ht="30" customHeight="1" x14ac:dyDescent="0.3">
      <c r="H645" s="21"/>
      <c r="K645" s="20"/>
    </row>
    <row r="646" spans="8:11" ht="30" customHeight="1" x14ac:dyDescent="0.3">
      <c r="H646" s="21"/>
      <c r="K646" s="20"/>
    </row>
    <row r="647" spans="8:11" ht="30" customHeight="1" x14ac:dyDescent="0.3">
      <c r="H647" s="21"/>
      <c r="K647" s="20"/>
    </row>
    <row r="648" spans="8:11" ht="30" customHeight="1" x14ac:dyDescent="0.3">
      <c r="H648" s="21"/>
      <c r="K648" s="20"/>
    </row>
    <row r="649" spans="8:11" ht="30" customHeight="1" x14ac:dyDescent="0.3">
      <c r="H649" s="21"/>
      <c r="K649" s="20"/>
    </row>
    <row r="650" spans="8:11" ht="30" customHeight="1" x14ac:dyDescent="0.3">
      <c r="H650" s="21"/>
      <c r="K650" s="20"/>
    </row>
    <row r="651" spans="8:11" ht="30" customHeight="1" x14ac:dyDescent="0.3">
      <c r="H651" s="21"/>
      <c r="K651" s="20"/>
    </row>
    <row r="652" spans="8:11" ht="30" customHeight="1" x14ac:dyDescent="0.3">
      <c r="H652" s="21"/>
      <c r="K652" s="20"/>
    </row>
    <row r="653" spans="8:11" ht="30" customHeight="1" x14ac:dyDescent="0.3">
      <c r="H653" s="21"/>
      <c r="K653" s="20"/>
    </row>
    <row r="654" spans="8:11" ht="30" customHeight="1" x14ac:dyDescent="0.3">
      <c r="H654" s="21"/>
      <c r="K654" s="20"/>
    </row>
    <row r="655" spans="8:11" ht="30" customHeight="1" x14ac:dyDescent="0.3">
      <c r="H655" s="21"/>
      <c r="K655" s="20"/>
    </row>
    <row r="656" spans="8:11" ht="30" customHeight="1" x14ac:dyDescent="0.3">
      <c r="H656" s="21"/>
      <c r="K656" s="20"/>
    </row>
    <row r="657" spans="8:11" ht="30" customHeight="1" x14ac:dyDescent="0.3">
      <c r="H657" s="21"/>
      <c r="K657" s="20"/>
    </row>
    <row r="658" spans="8:11" ht="30" customHeight="1" x14ac:dyDescent="0.3">
      <c r="H658" s="21"/>
      <c r="K658" s="20"/>
    </row>
    <row r="659" spans="8:11" ht="30" customHeight="1" x14ac:dyDescent="0.3">
      <c r="H659" s="21"/>
      <c r="K659" s="20"/>
    </row>
    <row r="660" spans="8:11" ht="30" customHeight="1" x14ac:dyDescent="0.3">
      <c r="H660" s="21"/>
      <c r="K660" s="20"/>
    </row>
    <row r="661" spans="8:11" ht="30" customHeight="1" x14ac:dyDescent="0.3">
      <c r="H661" s="21"/>
      <c r="K661" s="20"/>
    </row>
    <row r="662" spans="8:11" ht="30" customHeight="1" x14ac:dyDescent="0.3">
      <c r="H662" s="21"/>
      <c r="K662" s="20"/>
    </row>
    <row r="663" spans="8:11" ht="30" customHeight="1" x14ac:dyDescent="0.3">
      <c r="H663" s="21"/>
      <c r="K663" s="20"/>
    </row>
    <row r="664" spans="8:11" ht="30" customHeight="1" x14ac:dyDescent="0.3">
      <c r="H664" s="21"/>
      <c r="K664" s="20"/>
    </row>
    <row r="665" spans="8:11" ht="30" customHeight="1" x14ac:dyDescent="0.3">
      <c r="H665" s="21"/>
      <c r="K665" s="20"/>
    </row>
    <row r="666" spans="8:11" ht="30" customHeight="1" x14ac:dyDescent="0.3">
      <c r="H666" s="21"/>
      <c r="K666" s="20"/>
    </row>
    <row r="667" spans="8:11" ht="30" customHeight="1" x14ac:dyDescent="0.3">
      <c r="H667" s="21"/>
      <c r="K667" s="20"/>
    </row>
    <row r="668" spans="8:11" ht="30" customHeight="1" x14ac:dyDescent="0.3">
      <c r="H668" s="21"/>
      <c r="K668" s="20"/>
    </row>
    <row r="669" spans="8:11" ht="30" customHeight="1" x14ac:dyDescent="0.3">
      <c r="H669" s="21"/>
      <c r="K669" s="20"/>
    </row>
    <row r="670" spans="8:11" ht="30" customHeight="1" x14ac:dyDescent="0.3">
      <c r="H670" s="21"/>
      <c r="K670" s="20"/>
    </row>
    <row r="671" spans="8:11" ht="30" customHeight="1" x14ac:dyDescent="0.3">
      <c r="H671" s="21"/>
      <c r="K671" s="20"/>
    </row>
    <row r="672" spans="8:11" ht="30" customHeight="1" x14ac:dyDescent="0.3">
      <c r="H672" s="21"/>
      <c r="K672" s="20"/>
    </row>
    <row r="673" spans="8:11" ht="30" customHeight="1" x14ac:dyDescent="0.3">
      <c r="H673" s="21"/>
      <c r="K673" s="20"/>
    </row>
    <row r="674" spans="8:11" ht="30" customHeight="1" x14ac:dyDescent="0.3">
      <c r="H674" s="21"/>
      <c r="K674" s="20"/>
    </row>
    <row r="675" spans="8:11" ht="30" customHeight="1" x14ac:dyDescent="0.3">
      <c r="H675" s="21"/>
      <c r="K675" s="20"/>
    </row>
    <row r="676" spans="8:11" ht="30" customHeight="1" x14ac:dyDescent="0.3">
      <c r="H676" s="21"/>
      <c r="K676" s="20"/>
    </row>
    <row r="677" spans="8:11" ht="30" customHeight="1" x14ac:dyDescent="0.3">
      <c r="H677" s="21"/>
      <c r="K677" s="20"/>
    </row>
    <row r="678" spans="8:11" ht="30" customHeight="1" x14ac:dyDescent="0.3">
      <c r="H678" s="21"/>
      <c r="K678" s="20"/>
    </row>
    <row r="679" spans="8:11" ht="30" customHeight="1" x14ac:dyDescent="0.3">
      <c r="H679" s="21"/>
      <c r="K679" s="20"/>
    </row>
    <row r="680" spans="8:11" ht="30" customHeight="1" x14ac:dyDescent="0.3">
      <c r="H680" s="21"/>
      <c r="K680" s="20"/>
    </row>
    <row r="681" spans="8:11" ht="30" customHeight="1" x14ac:dyDescent="0.3">
      <c r="H681" s="21"/>
      <c r="K681" s="20"/>
    </row>
    <row r="682" spans="8:11" ht="30" customHeight="1" x14ac:dyDescent="0.3">
      <c r="H682" s="21"/>
      <c r="K682" s="20"/>
    </row>
    <row r="683" spans="8:11" ht="30" customHeight="1" x14ac:dyDescent="0.3">
      <c r="H683" s="21"/>
      <c r="K683" s="20"/>
    </row>
    <row r="684" spans="8:11" ht="30" customHeight="1" x14ac:dyDescent="0.3">
      <c r="H684" s="21"/>
      <c r="K684" s="20"/>
    </row>
    <row r="685" spans="8:11" ht="30" customHeight="1" x14ac:dyDescent="0.3">
      <c r="H685" s="21"/>
      <c r="K685" s="20"/>
    </row>
    <row r="686" spans="8:11" ht="30" customHeight="1" x14ac:dyDescent="0.3">
      <c r="H686" s="21"/>
      <c r="K686" s="20"/>
    </row>
    <row r="687" spans="8:11" ht="30" customHeight="1" x14ac:dyDescent="0.3">
      <c r="H687" s="21"/>
      <c r="K687" s="20"/>
    </row>
    <row r="688" spans="8:11" ht="30" customHeight="1" x14ac:dyDescent="0.3">
      <c r="H688" s="21"/>
      <c r="K688" s="20"/>
    </row>
    <row r="689" spans="8:11" ht="30" customHeight="1" x14ac:dyDescent="0.3">
      <c r="H689" s="21"/>
      <c r="K689" s="20"/>
    </row>
    <row r="690" spans="8:11" ht="30" customHeight="1" x14ac:dyDescent="0.3">
      <c r="H690" s="21"/>
      <c r="K690" s="20"/>
    </row>
    <row r="691" spans="8:11" ht="30" customHeight="1" x14ac:dyDescent="0.3">
      <c r="H691" s="21"/>
      <c r="K691" s="20"/>
    </row>
    <row r="692" spans="8:11" ht="30" customHeight="1" x14ac:dyDescent="0.3">
      <c r="H692" s="21"/>
      <c r="K692" s="20"/>
    </row>
    <row r="693" spans="8:11" ht="30" customHeight="1" x14ac:dyDescent="0.3">
      <c r="H693" s="21"/>
      <c r="K693" s="20"/>
    </row>
    <row r="694" spans="8:11" ht="30" customHeight="1" x14ac:dyDescent="0.3">
      <c r="H694" s="21"/>
      <c r="K694" s="20"/>
    </row>
    <row r="695" spans="8:11" ht="30" customHeight="1" x14ac:dyDescent="0.3">
      <c r="H695" s="21"/>
      <c r="K695" s="20"/>
    </row>
    <row r="696" spans="8:11" ht="30" customHeight="1" x14ac:dyDescent="0.3">
      <c r="H696" s="21"/>
      <c r="K696" s="20"/>
    </row>
    <row r="697" spans="8:11" ht="30" customHeight="1" x14ac:dyDescent="0.3">
      <c r="H697" s="21"/>
      <c r="K697" s="20"/>
    </row>
    <row r="698" spans="8:11" ht="30" customHeight="1" x14ac:dyDescent="0.3">
      <c r="H698" s="21"/>
      <c r="K698" s="20"/>
    </row>
    <row r="699" spans="8:11" ht="30" customHeight="1" x14ac:dyDescent="0.3">
      <c r="H699" s="21"/>
      <c r="K699" s="20"/>
    </row>
    <row r="700" spans="8:11" ht="30" customHeight="1" x14ac:dyDescent="0.3">
      <c r="H700" s="21"/>
      <c r="K700" s="20"/>
    </row>
    <row r="701" spans="8:11" ht="30" customHeight="1" x14ac:dyDescent="0.3">
      <c r="H701" s="21"/>
      <c r="K701" s="20"/>
    </row>
    <row r="702" spans="8:11" ht="30" customHeight="1" x14ac:dyDescent="0.3">
      <c r="H702" s="21"/>
      <c r="K702" s="20"/>
    </row>
    <row r="703" spans="8:11" ht="30" customHeight="1" x14ac:dyDescent="0.3">
      <c r="H703" s="21"/>
      <c r="K703" s="20"/>
    </row>
    <row r="704" spans="8:11" ht="30" customHeight="1" x14ac:dyDescent="0.3">
      <c r="H704" s="21"/>
      <c r="K704" s="20"/>
    </row>
    <row r="705" spans="8:11" ht="30" customHeight="1" x14ac:dyDescent="0.3">
      <c r="H705" s="21"/>
      <c r="K705" s="20"/>
    </row>
    <row r="706" spans="8:11" ht="30" customHeight="1" x14ac:dyDescent="0.3">
      <c r="H706" s="21"/>
      <c r="K706" s="20"/>
    </row>
    <row r="707" spans="8:11" ht="30" customHeight="1" x14ac:dyDescent="0.3">
      <c r="H707" s="21"/>
      <c r="K707" s="20"/>
    </row>
    <row r="708" spans="8:11" ht="30" customHeight="1" x14ac:dyDescent="0.3">
      <c r="H708" s="21"/>
      <c r="K708" s="20"/>
    </row>
    <row r="709" spans="8:11" ht="30" customHeight="1" x14ac:dyDescent="0.3">
      <c r="H709" s="21"/>
      <c r="K709" s="20"/>
    </row>
    <row r="710" spans="8:11" ht="30" customHeight="1" x14ac:dyDescent="0.3">
      <c r="H710" s="21"/>
      <c r="K710" s="20"/>
    </row>
    <row r="711" spans="8:11" ht="30" customHeight="1" x14ac:dyDescent="0.3">
      <c r="H711" s="21"/>
      <c r="K711" s="20"/>
    </row>
    <row r="712" spans="8:11" ht="30" customHeight="1" x14ac:dyDescent="0.3">
      <c r="H712" s="21"/>
      <c r="K712" s="20"/>
    </row>
    <row r="713" spans="8:11" ht="30" customHeight="1" x14ac:dyDescent="0.3">
      <c r="H713" s="21"/>
      <c r="K713" s="20"/>
    </row>
    <row r="714" spans="8:11" ht="30" customHeight="1" x14ac:dyDescent="0.3">
      <c r="H714" s="21"/>
      <c r="K714" s="20"/>
    </row>
    <row r="715" spans="8:11" ht="30" customHeight="1" x14ac:dyDescent="0.3">
      <c r="H715" s="21"/>
      <c r="K715" s="20"/>
    </row>
    <row r="716" spans="8:11" ht="30" customHeight="1" x14ac:dyDescent="0.3">
      <c r="H716" s="21"/>
      <c r="K716" s="20"/>
    </row>
    <row r="717" spans="8:11" ht="30" customHeight="1" x14ac:dyDescent="0.3">
      <c r="H717" s="21"/>
      <c r="K717" s="20"/>
    </row>
    <row r="718" spans="8:11" ht="30" customHeight="1" x14ac:dyDescent="0.3">
      <c r="H718" s="21"/>
      <c r="K718" s="20"/>
    </row>
    <row r="719" spans="8:11" ht="30" customHeight="1" x14ac:dyDescent="0.3">
      <c r="H719" s="21"/>
      <c r="K719" s="20"/>
    </row>
    <row r="720" spans="8:11" ht="30" customHeight="1" x14ac:dyDescent="0.3">
      <c r="H720" s="21"/>
      <c r="K720" s="20"/>
    </row>
    <row r="721" spans="8:11" ht="30" customHeight="1" x14ac:dyDescent="0.3">
      <c r="H721" s="21"/>
      <c r="K721" s="20"/>
    </row>
    <row r="722" spans="8:11" ht="30" customHeight="1" x14ac:dyDescent="0.3">
      <c r="H722" s="21"/>
      <c r="K722" s="20"/>
    </row>
    <row r="723" spans="8:11" ht="30" customHeight="1" x14ac:dyDescent="0.3">
      <c r="H723" s="21"/>
      <c r="K723" s="20"/>
    </row>
    <row r="724" spans="8:11" ht="30" customHeight="1" x14ac:dyDescent="0.3">
      <c r="H724" s="21"/>
      <c r="K724" s="20"/>
    </row>
    <row r="725" spans="8:11" ht="30" customHeight="1" x14ac:dyDescent="0.3">
      <c r="H725" s="21"/>
      <c r="K725" s="20"/>
    </row>
    <row r="726" spans="8:11" ht="30" customHeight="1" x14ac:dyDescent="0.3">
      <c r="H726" s="21"/>
      <c r="K726" s="20"/>
    </row>
    <row r="727" spans="8:11" ht="30" customHeight="1" x14ac:dyDescent="0.3">
      <c r="H727" s="21"/>
      <c r="K727" s="20"/>
    </row>
    <row r="728" spans="8:11" ht="30" customHeight="1" x14ac:dyDescent="0.3">
      <c r="H728" s="21"/>
      <c r="K728" s="20"/>
    </row>
    <row r="729" spans="8:11" ht="30" customHeight="1" x14ac:dyDescent="0.3">
      <c r="H729" s="21"/>
      <c r="K729" s="20"/>
    </row>
    <row r="730" spans="8:11" ht="30" customHeight="1" x14ac:dyDescent="0.3">
      <c r="H730" s="21"/>
      <c r="K730" s="20"/>
    </row>
    <row r="731" spans="8:11" ht="30" customHeight="1" x14ac:dyDescent="0.3">
      <c r="H731" s="21"/>
      <c r="K731" s="20"/>
    </row>
    <row r="732" spans="8:11" ht="30" customHeight="1" x14ac:dyDescent="0.3">
      <c r="H732" s="21"/>
      <c r="K732" s="20"/>
    </row>
    <row r="733" spans="8:11" ht="30" customHeight="1" x14ac:dyDescent="0.3">
      <c r="H733" s="21"/>
      <c r="K733" s="20"/>
    </row>
    <row r="734" spans="8:11" ht="30" customHeight="1" x14ac:dyDescent="0.3">
      <c r="H734" s="21"/>
      <c r="K734" s="20"/>
    </row>
    <row r="735" spans="8:11" ht="30" customHeight="1" x14ac:dyDescent="0.3">
      <c r="H735" s="21"/>
      <c r="K735" s="20"/>
    </row>
    <row r="736" spans="8:11" ht="30" customHeight="1" x14ac:dyDescent="0.3">
      <c r="H736" s="21"/>
      <c r="K736" s="20"/>
    </row>
    <row r="737" spans="8:11" ht="30" customHeight="1" x14ac:dyDescent="0.3">
      <c r="H737" s="21"/>
      <c r="K737" s="20"/>
    </row>
    <row r="738" spans="8:11" ht="30" customHeight="1" x14ac:dyDescent="0.3">
      <c r="H738" s="21"/>
      <c r="K738" s="20"/>
    </row>
    <row r="739" spans="8:11" ht="30" customHeight="1" x14ac:dyDescent="0.3">
      <c r="H739" s="21"/>
      <c r="K739" s="20"/>
    </row>
    <row r="740" spans="8:11" ht="30" customHeight="1" x14ac:dyDescent="0.3">
      <c r="H740" s="21"/>
      <c r="K740" s="20"/>
    </row>
    <row r="741" spans="8:11" ht="30" customHeight="1" x14ac:dyDescent="0.3">
      <c r="H741" s="21"/>
      <c r="K741" s="20"/>
    </row>
    <row r="742" spans="8:11" ht="30" customHeight="1" x14ac:dyDescent="0.3">
      <c r="H742" s="21"/>
      <c r="K742" s="20"/>
    </row>
    <row r="743" spans="8:11" ht="30" customHeight="1" x14ac:dyDescent="0.3">
      <c r="H743" s="21"/>
      <c r="K743" s="20"/>
    </row>
    <row r="744" spans="8:11" ht="30" customHeight="1" x14ac:dyDescent="0.3">
      <c r="H744" s="21"/>
      <c r="K744" s="20"/>
    </row>
    <row r="745" spans="8:11" ht="30" customHeight="1" x14ac:dyDescent="0.3">
      <c r="H745" s="21"/>
      <c r="K745" s="20"/>
    </row>
    <row r="746" spans="8:11" ht="30" customHeight="1" x14ac:dyDescent="0.3">
      <c r="H746" s="21"/>
      <c r="K746" s="20"/>
    </row>
    <row r="747" spans="8:11" ht="30" customHeight="1" x14ac:dyDescent="0.3">
      <c r="H747" s="21"/>
      <c r="K747" s="20"/>
    </row>
    <row r="748" spans="8:11" ht="30" customHeight="1" x14ac:dyDescent="0.3">
      <c r="H748" s="21"/>
      <c r="K748" s="20"/>
    </row>
    <row r="749" spans="8:11" ht="30" customHeight="1" x14ac:dyDescent="0.3">
      <c r="H749" s="21"/>
      <c r="K749" s="20"/>
    </row>
    <row r="750" spans="8:11" ht="30" customHeight="1" x14ac:dyDescent="0.3">
      <c r="H750" s="21"/>
      <c r="K750" s="20"/>
    </row>
    <row r="751" spans="8:11" ht="30" customHeight="1" x14ac:dyDescent="0.3">
      <c r="H751" s="21"/>
      <c r="K751" s="20"/>
    </row>
    <row r="752" spans="8:11" ht="30" customHeight="1" x14ac:dyDescent="0.3">
      <c r="H752" s="21"/>
      <c r="K752" s="20"/>
    </row>
    <row r="753" spans="8:11" ht="30" customHeight="1" x14ac:dyDescent="0.3">
      <c r="H753" s="21"/>
      <c r="K753" s="20"/>
    </row>
    <row r="754" spans="8:11" ht="30" customHeight="1" x14ac:dyDescent="0.3">
      <c r="H754" s="21"/>
      <c r="K754" s="20"/>
    </row>
    <row r="755" spans="8:11" ht="30" customHeight="1" x14ac:dyDescent="0.3">
      <c r="H755" s="21"/>
      <c r="K755" s="20"/>
    </row>
    <row r="756" spans="8:11" ht="30" customHeight="1" x14ac:dyDescent="0.3">
      <c r="H756" s="21"/>
      <c r="K756" s="20"/>
    </row>
    <row r="757" spans="8:11" ht="30" customHeight="1" x14ac:dyDescent="0.3">
      <c r="H757" s="21"/>
      <c r="K757" s="20"/>
    </row>
    <row r="758" spans="8:11" ht="30" customHeight="1" x14ac:dyDescent="0.3">
      <c r="H758" s="21"/>
      <c r="K758" s="20"/>
    </row>
    <row r="759" spans="8:11" ht="30" customHeight="1" x14ac:dyDescent="0.3">
      <c r="H759" s="21"/>
      <c r="K759" s="20"/>
    </row>
    <row r="760" spans="8:11" ht="30" customHeight="1" x14ac:dyDescent="0.3">
      <c r="H760" s="21"/>
      <c r="K760" s="20"/>
    </row>
    <row r="761" spans="8:11" ht="30" customHeight="1" x14ac:dyDescent="0.3">
      <c r="H761" s="21"/>
      <c r="K761" s="20"/>
    </row>
    <row r="762" spans="8:11" ht="30" customHeight="1" x14ac:dyDescent="0.3">
      <c r="H762" s="21"/>
      <c r="K762" s="20"/>
    </row>
    <row r="763" spans="8:11" ht="30" customHeight="1" x14ac:dyDescent="0.3">
      <c r="H763" s="21"/>
      <c r="K763" s="20"/>
    </row>
    <row r="764" spans="8:11" ht="30" customHeight="1" x14ac:dyDescent="0.3">
      <c r="H764" s="21"/>
      <c r="K764" s="20"/>
    </row>
    <row r="765" spans="8:11" ht="30" customHeight="1" x14ac:dyDescent="0.3">
      <c r="H765" s="21"/>
      <c r="K765" s="20"/>
    </row>
    <row r="766" spans="8:11" ht="30" customHeight="1" x14ac:dyDescent="0.3">
      <c r="H766" s="21"/>
      <c r="K766" s="20"/>
    </row>
    <row r="767" spans="8:11" ht="30" customHeight="1" x14ac:dyDescent="0.3">
      <c r="H767" s="21"/>
      <c r="K767" s="20"/>
    </row>
    <row r="768" spans="8:11" ht="30" customHeight="1" x14ac:dyDescent="0.3">
      <c r="H768" s="21"/>
      <c r="K768" s="20"/>
    </row>
    <row r="769" spans="8:11" ht="30" customHeight="1" x14ac:dyDescent="0.3">
      <c r="H769" s="21"/>
      <c r="K769" s="20"/>
    </row>
    <row r="770" spans="8:11" ht="30" customHeight="1" x14ac:dyDescent="0.3">
      <c r="H770" s="21"/>
      <c r="K770" s="20"/>
    </row>
    <row r="771" spans="8:11" ht="30" customHeight="1" x14ac:dyDescent="0.3">
      <c r="H771" s="21"/>
      <c r="K771" s="20"/>
    </row>
    <row r="772" spans="8:11" ht="30" customHeight="1" x14ac:dyDescent="0.3">
      <c r="H772" s="21"/>
      <c r="K772" s="20"/>
    </row>
    <row r="773" spans="8:11" ht="30" customHeight="1" x14ac:dyDescent="0.3">
      <c r="H773" s="21"/>
      <c r="K773" s="20"/>
    </row>
    <row r="774" spans="8:11" ht="30" customHeight="1" x14ac:dyDescent="0.3">
      <c r="H774" s="21"/>
      <c r="K774" s="20"/>
    </row>
    <row r="775" spans="8:11" ht="30" customHeight="1" x14ac:dyDescent="0.3">
      <c r="H775" s="21"/>
      <c r="K775" s="20"/>
    </row>
    <row r="776" spans="8:11" ht="30" customHeight="1" x14ac:dyDescent="0.3">
      <c r="H776" s="21"/>
      <c r="K776" s="20"/>
    </row>
    <row r="777" spans="8:11" ht="30" customHeight="1" x14ac:dyDescent="0.3">
      <c r="H777" s="21"/>
      <c r="K777" s="20"/>
    </row>
    <row r="778" spans="8:11" ht="30" customHeight="1" x14ac:dyDescent="0.3">
      <c r="H778" s="21"/>
      <c r="K778" s="20"/>
    </row>
    <row r="779" spans="8:11" ht="30" customHeight="1" x14ac:dyDescent="0.3">
      <c r="H779" s="21"/>
      <c r="K779" s="20"/>
    </row>
    <row r="780" spans="8:11" ht="30" customHeight="1" x14ac:dyDescent="0.3">
      <c r="H780" s="21"/>
      <c r="K780" s="20"/>
    </row>
    <row r="781" spans="8:11" ht="30" customHeight="1" x14ac:dyDescent="0.3">
      <c r="H781" s="21"/>
      <c r="K781" s="20"/>
    </row>
    <row r="782" spans="8:11" ht="30" customHeight="1" x14ac:dyDescent="0.3">
      <c r="H782" s="21"/>
      <c r="K782" s="20"/>
    </row>
    <row r="783" spans="8:11" ht="30" customHeight="1" x14ac:dyDescent="0.3">
      <c r="H783" s="21"/>
      <c r="K783" s="20"/>
    </row>
    <row r="784" spans="8:11" ht="30" customHeight="1" x14ac:dyDescent="0.3">
      <c r="H784" s="21"/>
      <c r="K784" s="20"/>
    </row>
    <row r="785" spans="8:11" ht="30" customHeight="1" x14ac:dyDescent="0.3">
      <c r="H785" s="21"/>
      <c r="K785" s="20"/>
    </row>
    <row r="786" spans="8:11" ht="30" customHeight="1" x14ac:dyDescent="0.3">
      <c r="H786" s="21"/>
      <c r="K786" s="20"/>
    </row>
    <row r="787" spans="8:11" ht="30" customHeight="1" x14ac:dyDescent="0.3">
      <c r="H787" s="21"/>
      <c r="K787" s="20"/>
    </row>
    <row r="788" spans="8:11" ht="30" customHeight="1" x14ac:dyDescent="0.3">
      <c r="H788" s="21"/>
      <c r="K788" s="20"/>
    </row>
    <row r="789" spans="8:11" ht="30" customHeight="1" x14ac:dyDescent="0.3">
      <c r="H789" s="21"/>
      <c r="K789" s="20"/>
    </row>
    <row r="790" spans="8:11" ht="30" customHeight="1" x14ac:dyDescent="0.3">
      <c r="H790" s="21"/>
      <c r="K790" s="20"/>
    </row>
    <row r="791" spans="8:11" ht="30" customHeight="1" x14ac:dyDescent="0.3">
      <c r="H791" s="21"/>
      <c r="K791" s="20"/>
    </row>
    <row r="792" spans="8:11" ht="30" customHeight="1" x14ac:dyDescent="0.3">
      <c r="H792" s="21"/>
      <c r="K792" s="20"/>
    </row>
    <row r="793" spans="8:11" ht="30" customHeight="1" x14ac:dyDescent="0.3">
      <c r="H793" s="21"/>
      <c r="K793" s="20"/>
    </row>
    <row r="794" spans="8:11" ht="30" customHeight="1" x14ac:dyDescent="0.3">
      <c r="H794" s="21"/>
      <c r="K794" s="20"/>
    </row>
    <row r="795" spans="8:11" ht="30" customHeight="1" x14ac:dyDescent="0.3">
      <c r="H795" s="21"/>
      <c r="K795" s="20"/>
    </row>
    <row r="796" spans="8:11" ht="30" customHeight="1" x14ac:dyDescent="0.3">
      <c r="H796" s="21"/>
      <c r="K796" s="20"/>
    </row>
    <row r="797" spans="8:11" ht="30" customHeight="1" x14ac:dyDescent="0.3">
      <c r="H797" s="21"/>
      <c r="K797" s="20"/>
    </row>
    <row r="798" spans="8:11" ht="30" customHeight="1" x14ac:dyDescent="0.3">
      <c r="H798" s="21"/>
      <c r="K798" s="20"/>
    </row>
    <row r="799" spans="8:11" ht="30" customHeight="1" x14ac:dyDescent="0.3">
      <c r="H799" s="21"/>
      <c r="K799" s="20"/>
    </row>
    <row r="800" spans="8:11" ht="30" customHeight="1" x14ac:dyDescent="0.3">
      <c r="H800" s="21"/>
      <c r="K800" s="20"/>
    </row>
    <row r="801" spans="8:11" ht="30" customHeight="1" x14ac:dyDescent="0.3">
      <c r="H801" s="21"/>
      <c r="K801" s="20"/>
    </row>
    <row r="802" spans="8:11" ht="30" customHeight="1" x14ac:dyDescent="0.3">
      <c r="H802" s="21"/>
      <c r="K802" s="20"/>
    </row>
    <row r="803" spans="8:11" ht="30" customHeight="1" x14ac:dyDescent="0.3">
      <c r="H803" s="21"/>
      <c r="K803" s="20"/>
    </row>
    <row r="804" spans="8:11" ht="30" customHeight="1" x14ac:dyDescent="0.3">
      <c r="H804" s="21"/>
      <c r="K804" s="20"/>
    </row>
    <row r="805" spans="8:11" ht="30" customHeight="1" x14ac:dyDescent="0.3">
      <c r="H805" s="21"/>
      <c r="K805" s="20"/>
    </row>
    <row r="806" spans="8:11" ht="30" customHeight="1" x14ac:dyDescent="0.3">
      <c r="H806" s="21"/>
      <c r="K806" s="20"/>
    </row>
    <row r="807" spans="8:11" ht="30" customHeight="1" x14ac:dyDescent="0.3">
      <c r="H807" s="21"/>
      <c r="K807" s="20"/>
    </row>
    <row r="808" spans="8:11" ht="30" customHeight="1" x14ac:dyDescent="0.3">
      <c r="H808" s="21"/>
      <c r="K808" s="20"/>
    </row>
    <row r="809" spans="8:11" ht="30" customHeight="1" x14ac:dyDescent="0.3">
      <c r="H809" s="21"/>
      <c r="K809" s="20"/>
    </row>
    <row r="810" spans="8:11" ht="30" customHeight="1" x14ac:dyDescent="0.3">
      <c r="H810" s="21"/>
      <c r="K810" s="20"/>
    </row>
    <row r="811" spans="8:11" ht="30" customHeight="1" x14ac:dyDescent="0.3">
      <c r="H811" s="21"/>
      <c r="K811" s="20"/>
    </row>
    <row r="812" spans="8:11" ht="30" customHeight="1" x14ac:dyDescent="0.3">
      <c r="H812" s="21"/>
      <c r="K812" s="20"/>
    </row>
    <row r="813" spans="8:11" ht="30" customHeight="1" x14ac:dyDescent="0.3">
      <c r="H813" s="21"/>
      <c r="K813" s="20"/>
    </row>
    <row r="814" spans="8:11" ht="30" customHeight="1" x14ac:dyDescent="0.3">
      <c r="H814" s="21"/>
      <c r="K814" s="20"/>
    </row>
    <row r="815" spans="8:11" ht="30" customHeight="1" x14ac:dyDescent="0.3">
      <c r="H815" s="21"/>
      <c r="K815" s="20"/>
    </row>
    <row r="816" spans="8:11" ht="30" customHeight="1" x14ac:dyDescent="0.3">
      <c r="H816" s="21"/>
      <c r="K816" s="20"/>
    </row>
    <row r="817" spans="8:11" ht="30" customHeight="1" x14ac:dyDescent="0.3">
      <c r="H817" s="21"/>
      <c r="K817" s="20"/>
    </row>
    <row r="818" spans="8:11" ht="30" customHeight="1" x14ac:dyDescent="0.3">
      <c r="H818" s="21"/>
      <c r="K818" s="20"/>
    </row>
    <row r="819" spans="8:11" ht="30" customHeight="1" x14ac:dyDescent="0.3">
      <c r="H819" s="21"/>
      <c r="K819" s="20"/>
    </row>
    <row r="820" spans="8:11" ht="30" customHeight="1" x14ac:dyDescent="0.3">
      <c r="H820" s="21"/>
      <c r="K820" s="20"/>
    </row>
    <row r="821" spans="8:11" ht="30" customHeight="1" x14ac:dyDescent="0.3">
      <c r="H821" s="21"/>
      <c r="K821" s="20"/>
    </row>
    <row r="822" spans="8:11" ht="30" customHeight="1" x14ac:dyDescent="0.3">
      <c r="H822" s="21"/>
      <c r="K822" s="20"/>
    </row>
    <row r="823" spans="8:11" ht="30" customHeight="1" x14ac:dyDescent="0.3">
      <c r="H823" s="21"/>
      <c r="K823" s="20"/>
    </row>
    <row r="824" spans="8:11" ht="30" customHeight="1" x14ac:dyDescent="0.3">
      <c r="H824" s="21"/>
      <c r="K824" s="20"/>
    </row>
    <row r="825" spans="8:11" ht="30" customHeight="1" x14ac:dyDescent="0.3">
      <c r="H825" s="21"/>
      <c r="K825" s="20"/>
    </row>
    <row r="826" spans="8:11" ht="30" customHeight="1" x14ac:dyDescent="0.3">
      <c r="H826" s="21"/>
      <c r="K826" s="20"/>
    </row>
    <row r="827" spans="8:11" ht="30" customHeight="1" x14ac:dyDescent="0.3">
      <c r="H827" s="21"/>
      <c r="K827" s="20"/>
    </row>
    <row r="828" spans="8:11" ht="30" customHeight="1" x14ac:dyDescent="0.3">
      <c r="H828" s="21"/>
      <c r="K828" s="20"/>
    </row>
    <row r="829" spans="8:11" ht="30" customHeight="1" x14ac:dyDescent="0.3">
      <c r="H829" s="21"/>
      <c r="K829" s="20"/>
    </row>
    <row r="830" spans="8:11" ht="30" customHeight="1" x14ac:dyDescent="0.3">
      <c r="H830" s="21"/>
      <c r="K830" s="20"/>
    </row>
    <row r="831" spans="8:11" ht="30" customHeight="1" x14ac:dyDescent="0.3">
      <c r="H831" s="21"/>
      <c r="K831" s="20"/>
    </row>
    <row r="832" spans="8:11" ht="30" customHeight="1" x14ac:dyDescent="0.3">
      <c r="H832" s="21"/>
      <c r="K832" s="20"/>
    </row>
    <row r="833" spans="8:11" ht="30" customHeight="1" x14ac:dyDescent="0.3">
      <c r="H833" s="21"/>
      <c r="K833" s="20"/>
    </row>
    <row r="834" spans="8:11" ht="30" customHeight="1" x14ac:dyDescent="0.3">
      <c r="H834" s="21"/>
      <c r="K834" s="20"/>
    </row>
    <row r="835" spans="8:11" ht="30" customHeight="1" x14ac:dyDescent="0.3">
      <c r="H835" s="21"/>
      <c r="K835" s="20"/>
    </row>
    <row r="836" spans="8:11" ht="30" customHeight="1" x14ac:dyDescent="0.3">
      <c r="H836" s="21"/>
      <c r="K836" s="20"/>
    </row>
    <row r="837" spans="8:11" ht="30" customHeight="1" x14ac:dyDescent="0.3">
      <c r="H837" s="21"/>
      <c r="K837" s="20"/>
    </row>
    <row r="838" spans="8:11" ht="30" customHeight="1" x14ac:dyDescent="0.3">
      <c r="H838" s="21"/>
      <c r="K838" s="20"/>
    </row>
    <row r="839" spans="8:11" ht="30" customHeight="1" x14ac:dyDescent="0.3">
      <c r="H839" s="21"/>
      <c r="K839" s="20"/>
    </row>
    <row r="840" spans="8:11" ht="30" customHeight="1" x14ac:dyDescent="0.3">
      <c r="H840" s="21"/>
      <c r="K840" s="20"/>
    </row>
    <row r="841" spans="8:11" ht="30" customHeight="1" x14ac:dyDescent="0.3">
      <c r="H841" s="21"/>
      <c r="K841" s="20"/>
    </row>
    <row r="842" spans="8:11" ht="30" customHeight="1" x14ac:dyDescent="0.3">
      <c r="H842" s="21"/>
      <c r="K842" s="20"/>
    </row>
    <row r="843" spans="8:11" ht="30" customHeight="1" x14ac:dyDescent="0.3">
      <c r="H843" s="21"/>
      <c r="K843" s="20"/>
    </row>
    <row r="844" spans="8:11" ht="30" customHeight="1" x14ac:dyDescent="0.3">
      <c r="H844" s="21"/>
      <c r="K844" s="20"/>
    </row>
    <row r="845" spans="8:11" ht="30" customHeight="1" x14ac:dyDescent="0.3">
      <c r="H845" s="21"/>
      <c r="K845" s="20"/>
    </row>
    <row r="846" spans="8:11" ht="30" customHeight="1" x14ac:dyDescent="0.3">
      <c r="H846" s="21"/>
      <c r="K846" s="20"/>
    </row>
    <row r="847" spans="8:11" ht="30" customHeight="1" x14ac:dyDescent="0.3">
      <c r="H847" s="21"/>
      <c r="K847" s="20"/>
    </row>
    <row r="848" spans="8:11" ht="30" customHeight="1" x14ac:dyDescent="0.3">
      <c r="H848" s="21"/>
      <c r="K848" s="20"/>
    </row>
    <row r="849" spans="8:11" ht="30" customHeight="1" x14ac:dyDescent="0.3">
      <c r="H849" s="21"/>
      <c r="K849" s="20"/>
    </row>
    <row r="850" spans="8:11" ht="30" customHeight="1" x14ac:dyDescent="0.3">
      <c r="H850" s="21"/>
      <c r="K850" s="20"/>
    </row>
    <row r="851" spans="8:11" ht="30" customHeight="1" x14ac:dyDescent="0.3">
      <c r="H851" s="21"/>
      <c r="K851" s="20"/>
    </row>
    <row r="852" spans="8:11" ht="30" customHeight="1" x14ac:dyDescent="0.3">
      <c r="H852" s="21"/>
      <c r="K852" s="20"/>
    </row>
    <row r="853" spans="8:11" ht="30" customHeight="1" x14ac:dyDescent="0.3">
      <c r="H853" s="21"/>
      <c r="K853" s="20"/>
    </row>
    <row r="854" spans="8:11" ht="30" customHeight="1" x14ac:dyDescent="0.3">
      <c r="H854" s="21"/>
      <c r="K854" s="20"/>
    </row>
    <row r="855" spans="8:11" ht="30" customHeight="1" x14ac:dyDescent="0.3">
      <c r="H855" s="21"/>
      <c r="K855" s="20"/>
    </row>
    <row r="856" spans="8:11" ht="30" customHeight="1" x14ac:dyDescent="0.3">
      <c r="H856" s="21"/>
      <c r="K856" s="20"/>
    </row>
    <row r="857" spans="8:11" ht="30" customHeight="1" x14ac:dyDescent="0.3">
      <c r="H857" s="21"/>
      <c r="K857" s="20"/>
    </row>
    <row r="858" spans="8:11" ht="30" customHeight="1" x14ac:dyDescent="0.3">
      <c r="H858" s="21"/>
      <c r="K858" s="20"/>
    </row>
    <row r="859" spans="8:11" ht="30" customHeight="1" x14ac:dyDescent="0.3">
      <c r="H859" s="21"/>
      <c r="K859" s="20"/>
    </row>
    <row r="860" spans="8:11" ht="30" customHeight="1" x14ac:dyDescent="0.3">
      <c r="H860" s="21"/>
      <c r="K860" s="20"/>
    </row>
    <row r="861" spans="8:11" ht="30" customHeight="1" x14ac:dyDescent="0.3">
      <c r="H861" s="21"/>
      <c r="K861" s="20"/>
    </row>
    <row r="862" spans="8:11" ht="30" customHeight="1" x14ac:dyDescent="0.3">
      <c r="H862" s="21"/>
      <c r="K862" s="20"/>
    </row>
    <row r="863" spans="8:11" ht="30" customHeight="1" x14ac:dyDescent="0.3">
      <c r="H863" s="21"/>
      <c r="K863" s="20"/>
    </row>
    <row r="864" spans="8:11" ht="30" customHeight="1" x14ac:dyDescent="0.3">
      <c r="H864" s="21"/>
      <c r="K864" s="20"/>
    </row>
    <row r="865" spans="8:11" ht="30" customHeight="1" x14ac:dyDescent="0.3">
      <c r="H865" s="21"/>
      <c r="K865" s="20"/>
    </row>
    <row r="866" spans="8:11" ht="30" customHeight="1" x14ac:dyDescent="0.3">
      <c r="H866" s="21"/>
      <c r="K866" s="20"/>
    </row>
    <row r="867" spans="8:11" ht="30" customHeight="1" x14ac:dyDescent="0.3">
      <c r="H867" s="21"/>
      <c r="K867" s="20"/>
    </row>
    <row r="868" spans="8:11" ht="30" customHeight="1" x14ac:dyDescent="0.3">
      <c r="H868" s="21"/>
      <c r="K868" s="20"/>
    </row>
    <row r="869" spans="8:11" ht="30" customHeight="1" x14ac:dyDescent="0.3">
      <c r="H869" s="21"/>
      <c r="K869" s="20"/>
    </row>
    <row r="870" spans="8:11" ht="30" customHeight="1" x14ac:dyDescent="0.3">
      <c r="H870" s="21"/>
      <c r="K870" s="20"/>
    </row>
    <row r="871" spans="8:11" ht="30" customHeight="1" x14ac:dyDescent="0.3">
      <c r="H871" s="21"/>
      <c r="K871" s="20"/>
    </row>
    <row r="872" spans="8:11" ht="30" customHeight="1" x14ac:dyDescent="0.3">
      <c r="H872" s="21"/>
      <c r="K872" s="20"/>
    </row>
    <row r="873" spans="8:11" ht="30" customHeight="1" x14ac:dyDescent="0.3">
      <c r="H873" s="21"/>
      <c r="K873" s="20"/>
    </row>
    <row r="874" spans="8:11" ht="30" customHeight="1" x14ac:dyDescent="0.3">
      <c r="H874" s="21"/>
      <c r="K874" s="20"/>
    </row>
    <row r="875" spans="8:11" ht="30" customHeight="1" x14ac:dyDescent="0.3">
      <c r="H875" s="21"/>
      <c r="K875" s="20"/>
    </row>
    <row r="876" spans="8:11" ht="30" customHeight="1" x14ac:dyDescent="0.3">
      <c r="H876" s="21"/>
      <c r="K876" s="20"/>
    </row>
    <row r="877" spans="8:11" ht="30" customHeight="1" x14ac:dyDescent="0.3">
      <c r="H877" s="21"/>
      <c r="K877" s="20"/>
    </row>
    <row r="878" spans="8:11" ht="30" customHeight="1" x14ac:dyDescent="0.3">
      <c r="H878" s="21"/>
      <c r="K878" s="20"/>
    </row>
    <row r="879" spans="8:11" ht="30" customHeight="1" x14ac:dyDescent="0.3">
      <c r="H879" s="21"/>
      <c r="K879" s="20"/>
    </row>
    <row r="880" spans="8:11" ht="30" customHeight="1" x14ac:dyDescent="0.3">
      <c r="H880" s="21"/>
      <c r="K880" s="20"/>
    </row>
    <row r="881" spans="8:11" ht="30" customHeight="1" x14ac:dyDescent="0.3">
      <c r="H881" s="21"/>
      <c r="K881" s="20"/>
    </row>
    <row r="882" spans="8:11" ht="30" customHeight="1" x14ac:dyDescent="0.3">
      <c r="H882" s="21"/>
      <c r="K882" s="20"/>
    </row>
    <row r="883" spans="8:11" ht="30" customHeight="1" x14ac:dyDescent="0.3">
      <c r="H883" s="21"/>
      <c r="K883" s="20"/>
    </row>
    <row r="884" spans="8:11" ht="30" customHeight="1" x14ac:dyDescent="0.3">
      <c r="H884" s="21"/>
      <c r="K884" s="20"/>
    </row>
    <row r="885" spans="8:11" ht="30" customHeight="1" x14ac:dyDescent="0.3">
      <c r="H885" s="21"/>
      <c r="K885" s="20"/>
    </row>
    <row r="886" spans="8:11" ht="30" customHeight="1" x14ac:dyDescent="0.3">
      <c r="H886" s="21"/>
      <c r="K886" s="20"/>
    </row>
    <row r="887" spans="8:11" ht="30" customHeight="1" x14ac:dyDescent="0.3">
      <c r="H887" s="21"/>
      <c r="K887" s="20"/>
    </row>
    <row r="888" spans="8:11" ht="30" customHeight="1" x14ac:dyDescent="0.3">
      <c r="H888" s="21"/>
      <c r="K888" s="20"/>
    </row>
    <row r="889" spans="8:11" ht="30" customHeight="1" x14ac:dyDescent="0.3">
      <c r="H889" s="21"/>
      <c r="K889" s="20"/>
    </row>
    <row r="890" spans="8:11" ht="30" customHeight="1" x14ac:dyDescent="0.3">
      <c r="H890" s="21"/>
      <c r="K890" s="20"/>
    </row>
    <row r="891" spans="8:11" ht="30" customHeight="1" x14ac:dyDescent="0.3">
      <c r="H891" s="21"/>
      <c r="K891" s="20"/>
    </row>
    <row r="892" spans="8:11" ht="30" customHeight="1" x14ac:dyDescent="0.3">
      <c r="H892" s="21"/>
      <c r="K892" s="20"/>
    </row>
    <row r="893" spans="8:11" ht="30" customHeight="1" x14ac:dyDescent="0.3">
      <c r="H893" s="21"/>
      <c r="K893" s="20"/>
    </row>
    <row r="894" spans="8:11" ht="30" customHeight="1" x14ac:dyDescent="0.3">
      <c r="H894" s="21"/>
      <c r="K894" s="20"/>
    </row>
    <row r="895" spans="8:11" ht="30" customHeight="1" x14ac:dyDescent="0.3">
      <c r="H895" s="21"/>
      <c r="K895" s="20"/>
    </row>
    <row r="896" spans="8:11" ht="30" customHeight="1" x14ac:dyDescent="0.3">
      <c r="H896" s="21"/>
      <c r="K896" s="20"/>
    </row>
    <row r="897" spans="8:11" ht="30" customHeight="1" x14ac:dyDescent="0.3">
      <c r="H897" s="21"/>
      <c r="K897" s="20"/>
    </row>
    <row r="898" spans="8:11" ht="30" customHeight="1" x14ac:dyDescent="0.3">
      <c r="H898" s="21"/>
      <c r="K898" s="20"/>
    </row>
    <row r="899" spans="8:11" ht="30" customHeight="1" x14ac:dyDescent="0.3">
      <c r="H899" s="21"/>
      <c r="K899" s="20"/>
    </row>
    <row r="900" spans="8:11" ht="30" customHeight="1" x14ac:dyDescent="0.3">
      <c r="H900" s="21"/>
      <c r="K900" s="20"/>
    </row>
    <row r="901" spans="8:11" ht="30" customHeight="1" x14ac:dyDescent="0.3">
      <c r="H901" s="21"/>
      <c r="K901" s="20"/>
    </row>
    <row r="902" spans="8:11" ht="30" customHeight="1" x14ac:dyDescent="0.3">
      <c r="H902" s="21"/>
      <c r="K902" s="20"/>
    </row>
    <row r="903" spans="8:11" ht="30" customHeight="1" x14ac:dyDescent="0.3">
      <c r="H903" s="21"/>
      <c r="K903" s="20"/>
    </row>
    <row r="904" spans="8:11" ht="30" customHeight="1" x14ac:dyDescent="0.3">
      <c r="H904" s="21"/>
      <c r="K904" s="20"/>
    </row>
    <row r="905" spans="8:11" ht="30" customHeight="1" x14ac:dyDescent="0.3">
      <c r="H905" s="21"/>
      <c r="K905" s="20"/>
    </row>
    <row r="906" spans="8:11" ht="30" customHeight="1" x14ac:dyDescent="0.3">
      <c r="H906" s="21"/>
      <c r="K906" s="20"/>
    </row>
    <row r="907" spans="8:11" ht="30" customHeight="1" x14ac:dyDescent="0.3">
      <c r="H907" s="21"/>
      <c r="K907" s="20"/>
    </row>
    <row r="908" spans="8:11" ht="30" customHeight="1" x14ac:dyDescent="0.3">
      <c r="H908" s="21"/>
      <c r="K908" s="20"/>
    </row>
    <row r="909" spans="8:11" ht="30" customHeight="1" x14ac:dyDescent="0.3">
      <c r="H909" s="21"/>
      <c r="K909" s="20"/>
    </row>
    <row r="910" spans="8:11" ht="30" customHeight="1" x14ac:dyDescent="0.3">
      <c r="H910" s="21"/>
      <c r="K910" s="20"/>
    </row>
    <row r="911" spans="8:11" ht="30" customHeight="1" x14ac:dyDescent="0.3">
      <c r="H911" s="21"/>
      <c r="K911" s="20"/>
    </row>
    <row r="912" spans="8:11" ht="30" customHeight="1" x14ac:dyDescent="0.3">
      <c r="H912" s="21"/>
      <c r="K912" s="20"/>
    </row>
    <row r="913" spans="8:11" ht="30" customHeight="1" x14ac:dyDescent="0.3">
      <c r="H913" s="21"/>
      <c r="K913" s="20"/>
    </row>
    <row r="914" spans="8:11" ht="30" customHeight="1" x14ac:dyDescent="0.3">
      <c r="H914" s="21"/>
      <c r="K914" s="20"/>
    </row>
    <row r="915" spans="8:11" ht="30" customHeight="1" x14ac:dyDescent="0.3">
      <c r="H915" s="21"/>
      <c r="K915" s="20"/>
    </row>
    <row r="916" spans="8:11" ht="30" customHeight="1" x14ac:dyDescent="0.3">
      <c r="H916" s="21"/>
      <c r="K916" s="20"/>
    </row>
    <row r="917" spans="8:11" ht="30" customHeight="1" x14ac:dyDescent="0.3">
      <c r="H917" s="21"/>
      <c r="K917" s="20"/>
    </row>
    <row r="918" spans="8:11" ht="30" customHeight="1" x14ac:dyDescent="0.3">
      <c r="H918" s="21"/>
      <c r="K918" s="20"/>
    </row>
    <row r="919" spans="8:11" ht="30" customHeight="1" x14ac:dyDescent="0.3">
      <c r="H919" s="21"/>
      <c r="K919" s="20"/>
    </row>
    <row r="920" spans="8:11" ht="30" customHeight="1" x14ac:dyDescent="0.3">
      <c r="H920" s="21"/>
      <c r="K920" s="20"/>
    </row>
    <row r="921" spans="8:11" ht="30" customHeight="1" x14ac:dyDescent="0.3">
      <c r="H921" s="21"/>
      <c r="K921" s="20"/>
    </row>
    <row r="922" spans="8:11" ht="30" customHeight="1" x14ac:dyDescent="0.3">
      <c r="H922" s="21"/>
      <c r="K922" s="20"/>
    </row>
    <row r="923" spans="8:11" ht="30" customHeight="1" x14ac:dyDescent="0.3">
      <c r="H923" s="21"/>
      <c r="K923" s="20"/>
    </row>
    <row r="924" spans="8:11" ht="30" customHeight="1" x14ac:dyDescent="0.3">
      <c r="H924" s="21"/>
      <c r="K924" s="20"/>
    </row>
    <row r="925" spans="8:11" ht="30" customHeight="1" x14ac:dyDescent="0.3">
      <c r="H925" s="21"/>
      <c r="K925" s="20"/>
    </row>
    <row r="926" spans="8:11" ht="30" customHeight="1" x14ac:dyDescent="0.3">
      <c r="H926" s="21"/>
      <c r="K926" s="20"/>
    </row>
    <row r="927" spans="8:11" ht="30" customHeight="1" x14ac:dyDescent="0.3">
      <c r="H927" s="21"/>
      <c r="K927" s="20"/>
    </row>
    <row r="928" spans="8:11" ht="30" customHeight="1" x14ac:dyDescent="0.3">
      <c r="H928" s="21"/>
      <c r="K928" s="20"/>
    </row>
    <row r="929" spans="8:11" ht="30" customHeight="1" x14ac:dyDescent="0.3">
      <c r="H929" s="21"/>
      <c r="K929" s="20"/>
    </row>
    <row r="930" spans="8:11" ht="30" customHeight="1" x14ac:dyDescent="0.3">
      <c r="H930" s="21"/>
      <c r="K930" s="20"/>
    </row>
    <row r="931" spans="8:11" ht="30" customHeight="1" x14ac:dyDescent="0.3">
      <c r="H931" s="21"/>
      <c r="K931" s="20"/>
    </row>
    <row r="932" spans="8:11" ht="30" customHeight="1" x14ac:dyDescent="0.3">
      <c r="H932" s="21"/>
      <c r="K932" s="20"/>
    </row>
    <row r="933" spans="8:11" ht="30" customHeight="1" x14ac:dyDescent="0.3">
      <c r="H933" s="21"/>
      <c r="K933" s="20"/>
    </row>
    <row r="934" spans="8:11" ht="30" customHeight="1" x14ac:dyDescent="0.3">
      <c r="H934" s="21"/>
      <c r="K934" s="20"/>
    </row>
    <row r="935" spans="8:11" ht="30" customHeight="1" x14ac:dyDescent="0.3">
      <c r="H935" s="21"/>
      <c r="K935" s="20"/>
    </row>
    <row r="936" spans="8:11" ht="30" customHeight="1" x14ac:dyDescent="0.3">
      <c r="H936" s="21"/>
      <c r="K936" s="20"/>
    </row>
    <row r="937" spans="8:11" ht="30" customHeight="1" x14ac:dyDescent="0.3">
      <c r="H937" s="21"/>
      <c r="K937" s="20"/>
    </row>
    <row r="938" spans="8:11" ht="30" customHeight="1" x14ac:dyDescent="0.3">
      <c r="H938" s="21"/>
      <c r="K938" s="20"/>
    </row>
    <row r="939" spans="8:11" ht="30" customHeight="1" x14ac:dyDescent="0.3">
      <c r="H939" s="21"/>
      <c r="K939" s="20"/>
    </row>
    <row r="940" spans="8:11" ht="30" customHeight="1" x14ac:dyDescent="0.3">
      <c r="H940" s="21"/>
      <c r="K940" s="20"/>
    </row>
    <row r="941" spans="8:11" ht="30" customHeight="1" x14ac:dyDescent="0.3">
      <c r="H941" s="21"/>
      <c r="K941" s="20"/>
    </row>
    <row r="942" spans="8:11" ht="30" customHeight="1" x14ac:dyDescent="0.3">
      <c r="H942" s="21"/>
      <c r="K942" s="20"/>
    </row>
    <row r="943" spans="8:11" ht="30" customHeight="1" x14ac:dyDescent="0.3">
      <c r="H943" s="21"/>
      <c r="K943" s="20"/>
    </row>
    <row r="944" spans="8:11" ht="30" customHeight="1" x14ac:dyDescent="0.3">
      <c r="H944" s="21"/>
      <c r="K944" s="20"/>
    </row>
    <row r="945" spans="8:11" ht="30" customHeight="1" x14ac:dyDescent="0.3">
      <c r="H945" s="21"/>
      <c r="K945" s="20"/>
    </row>
    <row r="946" spans="8:11" ht="30" customHeight="1" x14ac:dyDescent="0.3">
      <c r="H946" s="21"/>
      <c r="K946" s="20"/>
    </row>
    <row r="947" spans="8:11" ht="30" customHeight="1" x14ac:dyDescent="0.3">
      <c r="H947" s="21"/>
      <c r="K947" s="20"/>
    </row>
    <row r="948" spans="8:11" ht="30" customHeight="1" x14ac:dyDescent="0.3">
      <c r="H948" s="21"/>
      <c r="K948" s="20"/>
    </row>
    <row r="949" spans="8:11" ht="30" customHeight="1" x14ac:dyDescent="0.3">
      <c r="H949" s="21"/>
      <c r="K949" s="20"/>
    </row>
    <row r="950" spans="8:11" ht="30" customHeight="1" x14ac:dyDescent="0.3">
      <c r="H950" s="21"/>
      <c r="K950" s="20"/>
    </row>
    <row r="951" spans="8:11" ht="30" customHeight="1" x14ac:dyDescent="0.3">
      <c r="H951" s="21"/>
      <c r="K951" s="20"/>
    </row>
    <row r="952" spans="8:11" ht="30" customHeight="1" x14ac:dyDescent="0.3">
      <c r="H952" s="21"/>
      <c r="K952" s="20"/>
    </row>
    <row r="953" spans="8:11" ht="30" customHeight="1" x14ac:dyDescent="0.3">
      <c r="H953" s="21"/>
      <c r="K953" s="20"/>
    </row>
    <row r="954" spans="8:11" ht="30" customHeight="1" x14ac:dyDescent="0.3">
      <c r="H954" s="21"/>
      <c r="K954" s="20"/>
    </row>
    <row r="955" spans="8:11" ht="30" customHeight="1" x14ac:dyDescent="0.3">
      <c r="H955" s="21"/>
      <c r="K955" s="20"/>
    </row>
    <row r="956" spans="8:11" ht="30" customHeight="1" x14ac:dyDescent="0.3">
      <c r="H956" s="21"/>
      <c r="K956" s="20"/>
    </row>
    <row r="957" spans="8:11" ht="30" customHeight="1" x14ac:dyDescent="0.3">
      <c r="H957" s="21"/>
      <c r="K957" s="20"/>
    </row>
    <row r="958" spans="8:11" ht="30" customHeight="1" x14ac:dyDescent="0.3">
      <c r="H958" s="21"/>
      <c r="K958" s="20"/>
    </row>
    <row r="959" spans="8:11" ht="30" customHeight="1" x14ac:dyDescent="0.3">
      <c r="H959" s="21"/>
      <c r="K959" s="20"/>
    </row>
    <row r="960" spans="8:11" ht="30" customHeight="1" x14ac:dyDescent="0.3">
      <c r="H960" s="21"/>
      <c r="K960" s="20"/>
    </row>
    <row r="961" spans="8:11" ht="30" customHeight="1" x14ac:dyDescent="0.3">
      <c r="H961" s="21"/>
      <c r="K961" s="20"/>
    </row>
    <row r="962" spans="8:11" ht="30" customHeight="1" x14ac:dyDescent="0.3">
      <c r="H962" s="21"/>
      <c r="K962" s="20"/>
    </row>
    <row r="963" spans="8:11" ht="30" customHeight="1" x14ac:dyDescent="0.3">
      <c r="H963" s="21"/>
      <c r="K963" s="20"/>
    </row>
    <row r="964" spans="8:11" ht="30" customHeight="1" x14ac:dyDescent="0.3">
      <c r="H964" s="21"/>
      <c r="K964" s="20"/>
    </row>
    <row r="965" spans="8:11" ht="30" customHeight="1" x14ac:dyDescent="0.3">
      <c r="H965" s="21"/>
      <c r="K965" s="20"/>
    </row>
    <row r="966" spans="8:11" ht="30" customHeight="1" x14ac:dyDescent="0.3">
      <c r="H966" s="21"/>
      <c r="K966" s="20"/>
    </row>
    <row r="967" spans="8:11" ht="30" customHeight="1" x14ac:dyDescent="0.3">
      <c r="H967" s="21"/>
      <c r="K967" s="20"/>
    </row>
    <row r="968" spans="8:11" ht="30" customHeight="1" x14ac:dyDescent="0.3">
      <c r="H968" s="21"/>
      <c r="K968" s="20"/>
    </row>
    <row r="969" spans="8:11" ht="30" customHeight="1" x14ac:dyDescent="0.3">
      <c r="H969" s="21"/>
      <c r="K969" s="20"/>
    </row>
    <row r="970" spans="8:11" ht="30" customHeight="1" x14ac:dyDescent="0.3">
      <c r="H970" s="21"/>
      <c r="K970" s="20"/>
    </row>
    <row r="971" spans="8:11" ht="30" customHeight="1" x14ac:dyDescent="0.3">
      <c r="H971" s="21"/>
      <c r="K971" s="20"/>
    </row>
    <row r="972" spans="8:11" ht="30" customHeight="1" x14ac:dyDescent="0.3">
      <c r="H972" s="21"/>
      <c r="K972" s="20"/>
    </row>
    <row r="973" spans="8:11" ht="30" customHeight="1" x14ac:dyDescent="0.3">
      <c r="H973" s="21"/>
      <c r="K973" s="20"/>
    </row>
    <row r="974" spans="8:11" ht="30" customHeight="1" x14ac:dyDescent="0.3">
      <c r="H974" s="21"/>
      <c r="K974" s="20"/>
    </row>
    <row r="975" spans="8:11" ht="30" customHeight="1" x14ac:dyDescent="0.3">
      <c r="H975" s="21"/>
      <c r="K975" s="20"/>
    </row>
    <row r="976" spans="8:11" ht="30" customHeight="1" x14ac:dyDescent="0.3">
      <c r="H976" s="21"/>
      <c r="K976" s="20"/>
    </row>
    <row r="977" spans="8:11" ht="30" customHeight="1" x14ac:dyDescent="0.3">
      <c r="H977" s="21"/>
      <c r="K977" s="20"/>
    </row>
    <row r="978" spans="8:11" ht="30" customHeight="1" x14ac:dyDescent="0.3">
      <c r="H978" s="21"/>
      <c r="K978" s="20"/>
    </row>
    <row r="979" spans="8:11" ht="30" customHeight="1" x14ac:dyDescent="0.3">
      <c r="H979" s="21"/>
      <c r="K979" s="20"/>
    </row>
    <row r="980" spans="8:11" ht="30" customHeight="1" x14ac:dyDescent="0.3">
      <c r="H980" s="21"/>
      <c r="K980" s="20"/>
    </row>
    <row r="981" spans="8:11" ht="30" customHeight="1" x14ac:dyDescent="0.3">
      <c r="H981" s="21"/>
      <c r="K981" s="20"/>
    </row>
    <row r="982" spans="8:11" ht="30" customHeight="1" x14ac:dyDescent="0.3">
      <c r="H982" s="21"/>
      <c r="K982" s="20"/>
    </row>
    <row r="983" spans="8:11" ht="30" customHeight="1" x14ac:dyDescent="0.3">
      <c r="H983" s="21"/>
      <c r="K983" s="20"/>
    </row>
    <row r="984" spans="8:11" ht="30" customHeight="1" x14ac:dyDescent="0.3">
      <c r="H984" s="21"/>
      <c r="K984" s="20"/>
    </row>
    <row r="985" spans="8:11" ht="30" customHeight="1" x14ac:dyDescent="0.3">
      <c r="H985" s="21"/>
      <c r="K985" s="20"/>
    </row>
    <row r="986" spans="8:11" ht="30" customHeight="1" x14ac:dyDescent="0.3">
      <c r="H986" s="21"/>
      <c r="K986" s="20"/>
    </row>
    <row r="987" spans="8:11" ht="30" customHeight="1" x14ac:dyDescent="0.3">
      <c r="H987" s="21"/>
      <c r="K987" s="20"/>
    </row>
    <row r="988" spans="8:11" ht="30" customHeight="1" x14ac:dyDescent="0.3">
      <c r="H988" s="21"/>
      <c r="K988" s="20"/>
    </row>
    <row r="989" spans="8:11" ht="30" customHeight="1" x14ac:dyDescent="0.3">
      <c r="H989" s="21"/>
      <c r="K989" s="20"/>
    </row>
    <row r="990" spans="8:11" ht="30" customHeight="1" x14ac:dyDescent="0.3">
      <c r="H990" s="21"/>
      <c r="K990" s="20"/>
    </row>
    <row r="991" spans="8:11" ht="30" customHeight="1" x14ac:dyDescent="0.3">
      <c r="H991" s="21"/>
      <c r="K991" s="20"/>
    </row>
    <row r="992" spans="8:11" ht="30" customHeight="1" x14ac:dyDescent="0.3">
      <c r="H992" s="21"/>
      <c r="K992" s="20"/>
    </row>
    <row r="993" spans="8:11" ht="30" customHeight="1" x14ac:dyDescent="0.3">
      <c r="H993" s="21"/>
      <c r="K993" s="20"/>
    </row>
    <row r="994" spans="8:11" ht="30" customHeight="1" x14ac:dyDescent="0.3">
      <c r="H994" s="21"/>
      <c r="K994" s="20"/>
    </row>
    <row r="995" spans="8:11" ht="30" customHeight="1" x14ac:dyDescent="0.3">
      <c r="H995" s="21"/>
      <c r="K995" s="20"/>
    </row>
    <row r="996" spans="8:11" ht="30" customHeight="1" x14ac:dyDescent="0.3">
      <c r="H996" s="21"/>
      <c r="K996" s="20"/>
    </row>
    <row r="997" spans="8:11" ht="30" customHeight="1" x14ac:dyDescent="0.3">
      <c r="H997" s="21"/>
      <c r="K997" s="20"/>
    </row>
    <row r="998" spans="8:11" ht="30" customHeight="1" x14ac:dyDescent="0.3">
      <c r="H998" s="21"/>
      <c r="K998" s="20"/>
    </row>
    <row r="999" spans="8:11" ht="30" customHeight="1" x14ac:dyDescent="0.3">
      <c r="H999" s="21"/>
      <c r="K999" s="20"/>
    </row>
    <row r="1000" spans="8:11" ht="30" customHeight="1" x14ac:dyDescent="0.3">
      <c r="H1000" s="21"/>
      <c r="K1000" s="20"/>
    </row>
    <row r="1001" spans="8:11" ht="30" customHeight="1" x14ac:dyDescent="0.3">
      <c r="H1001" s="21"/>
      <c r="K1001" s="20"/>
    </row>
    <row r="1002" spans="8:11" ht="30" customHeight="1" x14ac:dyDescent="0.3">
      <c r="H1002" s="21"/>
      <c r="K1002" s="20"/>
    </row>
    <row r="1003" spans="8:11" ht="30" customHeight="1" x14ac:dyDescent="0.3">
      <c r="H1003" s="21"/>
      <c r="K1003" s="20"/>
    </row>
    <row r="1004" spans="8:11" ht="30" customHeight="1" x14ac:dyDescent="0.3">
      <c r="H1004" s="21"/>
      <c r="K1004" s="20"/>
    </row>
    <row r="1005" spans="8:11" ht="30" customHeight="1" x14ac:dyDescent="0.3">
      <c r="H1005" s="21"/>
      <c r="K1005" s="20"/>
    </row>
    <row r="1006" spans="8:11" ht="30" customHeight="1" x14ac:dyDescent="0.3">
      <c r="H1006" s="21"/>
      <c r="K1006" s="20"/>
    </row>
    <row r="1007" spans="8:11" ht="30" customHeight="1" x14ac:dyDescent="0.3">
      <c r="H1007" s="21"/>
      <c r="K1007" s="20"/>
    </row>
    <row r="1008" spans="8:11" ht="30" customHeight="1" x14ac:dyDescent="0.3">
      <c r="H1008" s="21"/>
      <c r="K1008" s="20"/>
    </row>
    <row r="1009" spans="8:11" ht="30" customHeight="1" x14ac:dyDescent="0.3">
      <c r="H1009" s="21"/>
      <c r="K1009" s="20"/>
    </row>
    <row r="1010" spans="8:11" ht="30" customHeight="1" x14ac:dyDescent="0.3">
      <c r="H1010" s="21"/>
      <c r="K1010" s="20"/>
    </row>
    <row r="1011" spans="8:11" ht="30" customHeight="1" x14ac:dyDescent="0.3">
      <c r="H1011" s="21"/>
      <c r="K1011" s="20"/>
    </row>
    <row r="1012" spans="8:11" ht="30" customHeight="1" x14ac:dyDescent="0.3">
      <c r="H1012" s="21"/>
      <c r="K1012" s="20"/>
    </row>
    <row r="1013" spans="8:11" ht="30" customHeight="1" x14ac:dyDescent="0.3">
      <c r="H1013" s="21"/>
      <c r="K1013" s="20"/>
    </row>
    <row r="1014" spans="8:11" ht="30" customHeight="1" x14ac:dyDescent="0.3">
      <c r="H1014" s="21"/>
      <c r="K1014" s="20"/>
    </row>
    <row r="1015" spans="8:11" ht="30" customHeight="1" x14ac:dyDescent="0.3">
      <c r="H1015" s="21"/>
      <c r="K1015" s="20"/>
    </row>
    <row r="1016" spans="8:11" ht="30" customHeight="1" x14ac:dyDescent="0.3">
      <c r="H1016" s="21"/>
      <c r="K1016" s="20"/>
    </row>
    <row r="1017" spans="8:11" ht="30" customHeight="1" x14ac:dyDescent="0.3">
      <c r="H1017" s="21"/>
      <c r="K1017" s="20"/>
    </row>
    <row r="1018" spans="8:11" ht="30" customHeight="1" x14ac:dyDescent="0.3">
      <c r="H1018" s="21"/>
      <c r="K1018" s="20"/>
    </row>
    <row r="1019" spans="8:11" ht="30" customHeight="1" x14ac:dyDescent="0.3">
      <c r="H1019" s="21"/>
      <c r="K1019" s="20"/>
    </row>
    <row r="1020" spans="8:11" ht="30" customHeight="1" x14ac:dyDescent="0.3">
      <c r="H1020" s="21"/>
      <c r="K1020" s="20"/>
    </row>
    <row r="1021" spans="8:11" ht="30" customHeight="1" x14ac:dyDescent="0.3">
      <c r="H1021" s="21"/>
      <c r="K1021" s="20"/>
    </row>
    <row r="1022" spans="8:11" ht="30" customHeight="1" x14ac:dyDescent="0.3">
      <c r="H1022" s="21"/>
      <c r="K1022" s="20"/>
    </row>
    <row r="1023" spans="8:11" ht="30" customHeight="1" x14ac:dyDescent="0.3">
      <c r="H1023" s="21"/>
      <c r="K1023" s="20"/>
    </row>
    <row r="1024" spans="8:11" ht="30" customHeight="1" x14ac:dyDescent="0.3">
      <c r="H1024" s="21"/>
      <c r="K1024" s="20"/>
    </row>
    <row r="1025" spans="8:11" ht="30" customHeight="1" x14ac:dyDescent="0.3">
      <c r="H1025" s="21"/>
      <c r="K1025" s="20"/>
    </row>
    <row r="1026" spans="8:11" ht="30" customHeight="1" x14ac:dyDescent="0.3">
      <c r="H1026" s="21"/>
      <c r="K1026" s="20"/>
    </row>
    <row r="1027" spans="8:11" ht="30" customHeight="1" x14ac:dyDescent="0.3">
      <c r="H1027" s="21"/>
      <c r="K1027" s="20"/>
    </row>
    <row r="1028" spans="8:11" ht="30" customHeight="1" x14ac:dyDescent="0.3">
      <c r="H1028" s="21"/>
      <c r="K1028" s="20"/>
    </row>
    <row r="1029" spans="8:11" ht="30" customHeight="1" x14ac:dyDescent="0.3">
      <c r="H1029" s="21"/>
      <c r="K1029" s="20"/>
    </row>
    <row r="1030" spans="8:11" ht="30" customHeight="1" x14ac:dyDescent="0.3">
      <c r="H1030" s="21"/>
      <c r="K1030" s="20"/>
    </row>
    <row r="1031" spans="8:11" ht="30" customHeight="1" x14ac:dyDescent="0.3">
      <c r="H1031" s="21"/>
      <c r="K1031" s="20"/>
    </row>
    <row r="1032" spans="8:11" ht="30" customHeight="1" x14ac:dyDescent="0.3">
      <c r="H1032" s="21"/>
      <c r="K1032" s="20"/>
    </row>
    <row r="1033" spans="8:11" ht="30" customHeight="1" x14ac:dyDescent="0.3">
      <c r="H1033" s="21"/>
      <c r="K1033" s="20"/>
    </row>
    <row r="1034" spans="8:11" ht="30" customHeight="1" x14ac:dyDescent="0.3">
      <c r="H1034" s="21"/>
      <c r="K1034" s="20"/>
    </row>
    <row r="1035" spans="8:11" ht="30" customHeight="1" x14ac:dyDescent="0.3">
      <c r="H1035" s="21"/>
      <c r="K1035" s="20"/>
    </row>
    <row r="1036" spans="8:11" ht="30" customHeight="1" x14ac:dyDescent="0.3">
      <c r="H1036" s="21"/>
      <c r="K1036" s="20"/>
    </row>
    <row r="1037" spans="8:11" ht="30" customHeight="1" x14ac:dyDescent="0.3">
      <c r="H1037" s="21"/>
      <c r="K1037" s="20"/>
    </row>
    <row r="1038" spans="8:11" ht="30" customHeight="1" x14ac:dyDescent="0.3">
      <c r="H1038" s="21"/>
      <c r="K1038" s="20"/>
    </row>
    <row r="1039" spans="8:11" ht="30" customHeight="1" x14ac:dyDescent="0.3">
      <c r="H1039" s="21"/>
      <c r="K1039" s="20"/>
    </row>
    <row r="1040" spans="8:11" ht="30" customHeight="1" x14ac:dyDescent="0.3">
      <c r="H1040" s="21"/>
      <c r="K1040" s="20"/>
    </row>
    <row r="1041" spans="8:11" ht="30" customHeight="1" x14ac:dyDescent="0.3">
      <c r="H1041" s="21"/>
      <c r="K1041" s="20"/>
    </row>
    <row r="1042" spans="8:11" ht="30" customHeight="1" x14ac:dyDescent="0.3">
      <c r="H1042" s="21"/>
      <c r="K1042" s="20"/>
    </row>
    <row r="1043" spans="8:11" ht="30" customHeight="1" x14ac:dyDescent="0.3">
      <c r="H1043" s="21"/>
      <c r="K1043" s="20"/>
    </row>
    <row r="1044" spans="8:11" ht="30" customHeight="1" x14ac:dyDescent="0.3">
      <c r="H1044" s="21"/>
      <c r="K1044" s="20"/>
    </row>
    <row r="1045" spans="8:11" ht="30" customHeight="1" x14ac:dyDescent="0.3">
      <c r="H1045" s="21"/>
      <c r="K1045" s="20"/>
    </row>
    <row r="1046" spans="8:11" ht="30" customHeight="1" x14ac:dyDescent="0.3">
      <c r="H1046" s="21"/>
      <c r="K1046" s="20"/>
    </row>
    <row r="1047" spans="8:11" ht="30" customHeight="1" x14ac:dyDescent="0.3">
      <c r="H1047" s="21"/>
      <c r="K1047" s="20"/>
    </row>
    <row r="1048" spans="8:11" ht="30" customHeight="1" x14ac:dyDescent="0.3">
      <c r="H1048" s="21"/>
      <c r="K1048" s="20"/>
    </row>
    <row r="1049" spans="8:11" ht="30" customHeight="1" x14ac:dyDescent="0.3">
      <c r="H1049" s="21"/>
      <c r="K1049" s="20"/>
    </row>
    <row r="1050" spans="8:11" ht="30" customHeight="1" x14ac:dyDescent="0.3">
      <c r="H1050" s="21"/>
      <c r="K1050" s="20"/>
    </row>
    <row r="1051" spans="8:11" ht="30" customHeight="1" x14ac:dyDescent="0.3">
      <c r="H1051" s="21"/>
      <c r="K1051" s="20"/>
    </row>
    <row r="1052" spans="8:11" ht="30" customHeight="1" x14ac:dyDescent="0.3">
      <c r="H1052" s="21"/>
      <c r="K1052" s="20"/>
    </row>
    <row r="1053" spans="8:11" ht="30" customHeight="1" x14ac:dyDescent="0.3">
      <c r="H1053" s="21"/>
      <c r="K1053" s="20"/>
    </row>
    <row r="1054" spans="8:11" ht="30" customHeight="1" x14ac:dyDescent="0.3">
      <c r="H1054" s="21"/>
      <c r="K1054" s="20"/>
    </row>
    <row r="1055" spans="8:11" ht="30" customHeight="1" x14ac:dyDescent="0.3">
      <c r="H1055" s="21"/>
      <c r="K1055" s="20"/>
    </row>
    <row r="1056" spans="8:11" ht="30" customHeight="1" x14ac:dyDescent="0.3">
      <c r="H1056" s="21"/>
      <c r="K1056" s="20"/>
    </row>
    <row r="1057" spans="8:11" ht="30" customHeight="1" x14ac:dyDescent="0.3">
      <c r="H1057" s="21"/>
      <c r="K1057" s="20"/>
    </row>
    <row r="1058" spans="8:11" ht="30" customHeight="1" x14ac:dyDescent="0.3">
      <c r="H1058" s="21"/>
      <c r="K1058" s="20"/>
    </row>
    <row r="1059" spans="8:11" ht="30" customHeight="1" x14ac:dyDescent="0.3">
      <c r="H1059" s="21"/>
      <c r="K1059" s="20"/>
    </row>
    <row r="1060" spans="8:11" ht="30" customHeight="1" x14ac:dyDescent="0.3">
      <c r="H1060" s="21"/>
      <c r="K1060" s="20"/>
    </row>
    <row r="1061" spans="8:11" ht="30" customHeight="1" x14ac:dyDescent="0.3">
      <c r="H1061" s="21"/>
      <c r="K1061" s="20"/>
    </row>
    <row r="1062" spans="8:11" ht="30" customHeight="1" x14ac:dyDescent="0.3">
      <c r="H1062" s="21"/>
      <c r="K1062" s="20"/>
    </row>
    <row r="1063" spans="8:11" ht="30" customHeight="1" x14ac:dyDescent="0.3">
      <c r="H1063" s="21"/>
      <c r="K1063" s="20"/>
    </row>
    <row r="1064" spans="8:11" ht="30" customHeight="1" x14ac:dyDescent="0.3">
      <c r="H1064" s="21"/>
      <c r="K1064" s="20"/>
    </row>
    <row r="1065" spans="8:11" ht="30" customHeight="1" x14ac:dyDescent="0.3">
      <c r="H1065" s="21"/>
      <c r="K1065" s="20"/>
    </row>
    <row r="1066" spans="8:11" ht="30" customHeight="1" x14ac:dyDescent="0.3">
      <c r="H1066" s="21"/>
      <c r="K1066" s="20"/>
    </row>
    <row r="1067" spans="8:11" ht="30" customHeight="1" x14ac:dyDescent="0.3">
      <c r="H1067" s="21"/>
      <c r="K1067" s="20"/>
    </row>
    <row r="1068" spans="8:11" ht="30" customHeight="1" x14ac:dyDescent="0.3">
      <c r="H1068" s="21"/>
      <c r="K1068" s="20"/>
    </row>
    <row r="1069" spans="8:11" ht="30" customHeight="1" x14ac:dyDescent="0.3">
      <c r="H1069" s="21"/>
      <c r="K1069" s="20"/>
    </row>
    <row r="1070" spans="8:11" ht="30" customHeight="1" x14ac:dyDescent="0.3">
      <c r="H1070" s="21"/>
      <c r="K1070" s="20"/>
    </row>
    <row r="1071" spans="8:11" ht="30" customHeight="1" x14ac:dyDescent="0.3">
      <c r="H1071" s="21"/>
      <c r="K1071" s="20"/>
    </row>
    <row r="1072" spans="8:11" ht="30" customHeight="1" x14ac:dyDescent="0.3">
      <c r="H1072" s="21"/>
      <c r="K1072" s="20"/>
    </row>
    <row r="1073" spans="8:11" ht="30" customHeight="1" x14ac:dyDescent="0.3">
      <c r="H1073" s="21"/>
      <c r="K1073" s="20"/>
    </row>
    <row r="1074" spans="8:11" ht="30" customHeight="1" x14ac:dyDescent="0.3">
      <c r="H1074" s="21"/>
      <c r="K1074" s="20"/>
    </row>
    <row r="1075" spans="8:11" ht="30" customHeight="1" x14ac:dyDescent="0.3">
      <c r="H1075" s="21"/>
      <c r="K1075" s="20"/>
    </row>
    <row r="1076" spans="8:11" ht="30" customHeight="1" x14ac:dyDescent="0.3">
      <c r="H1076" s="21"/>
      <c r="K1076" s="20"/>
    </row>
    <row r="1077" spans="8:11" ht="30" customHeight="1" x14ac:dyDescent="0.3">
      <c r="H1077" s="21"/>
      <c r="K1077" s="20"/>
    </row>
    <row r="1078" spans="8:11" ht="30" customHeight="1" x14ac:dyDescent="0.3">
      <c r="H1078" s="21"/>
      <c r="K1078" s="20"/>
    </row>
    <row r="1079" spans="8:11" ht="30" customHeight="1" x14ac:dyDescent="0.3">
      <c r="H1079" s="21"/>
      <c r="K1079" s="20"/>
    </row>
    <row r="1080" spans="8:11" ht="30" customHeight="1" x14ac:dyDescent="0.3">
      <c r="H1080" s="21"/>
      <c r="K1080" s="20"/>
    </row>
    <row r="1081" spans="8:11" ht="30" customHeight="1" x14ac:dyDescent="0.3">
      <c r="H1081" s="21"/>
      <c r="K1081" s="20"/>
    </row>
    <row r="1082" spans="8:11" ht="30" customHeight="1" x14ac:dyDescent="0.3">
      <c r="H1082" s="21"/>
      <c r="K1082" s="20"/>
    </row>
    <row r="1083" spans="8:11" ht="30" customHeight="1" x14ac:dyDescent="0.3">
      <c r="H1083" s="21"/>
      <c r="K1083" s="20"/>
    </row>
    <row r="1084" spans="8:11" ht="30" customHeight="1" x14ac:dyDescent="0.3">
      <c r="H1084" s="21"/>
      <c r="K1084" s="20"/>
    </row>
    <row r="1085" spans="8:11" ht="30" customHeight="1" x14ac:dyDescent="0.3">
      <c r="H1085" s="21"/>
      <c r="K1085" s="20"/>
    </row>
    <row r="1086" spans="8:11" ht="30" customHeight="1" x14ac:dyDescent="0.3">
      <c r="H1086" s="21"/>
      <c r="K1086" s="20"/>
    </row>
    <row r="1087" spans="8:11" ht="30" customHeight="1" x14ac:dyDescent="0.3">
      <c r="H1087" s="21"/>
      <c r="K1087" s="20"/>
    </row>
    <row r="1088" spans="8:11" ht="30" customHeight="1" x14ac:dyDescent="0.3">
      <c r="H1088" s="21"/>
      <c r="K1088" s="20"/>
    </row>
    <row r="1089" spans="8:11" ht="30" customHeight="1" x14ac:dyDescent="0.3">
      <c r="H1089" s="21"/>
      <c r="K1089" s="20"/>
    </row>
    <row r="1090" spans="8:11" ht="30" customHeight="1" x14ac:dyDescent="0.3">
      <c r="H1090" s="21"/>
      <c r="K1090" s="20"/>
    </row>
    <row r="1091" spans="8:11" ht="30" customHeight="1" x14ac:dyDescent="0.3">
      <c r="H1091" s="21"/>
      <c r="K1091" s="20"/>
    </row>
    <row r="1092" spans="8:11" ht="30" customHeight="1" x14ac:dyDescent="0.3">
      <c r="H1092" s="21"/>
      <c r="K1092" s="20"/>
    </row>
    <row r="1093" spans="8:11" ht="30" customHeight="1" x14ac:dyDescent="0.3">
      <c r="H1093" s="21"/>
      <c r="K1093" s="20"/>
    </row>
    <row r="1094" spans="8:11" ht="30" customHeight="1" x14ac:dyDescent="0.3">
      <c r="H1094" s="21"/>
      <c r="K1094" s="20"/>
    </row>
    <row r="1095" spans="8:11" ht="30" customHeight="1" x14ac:dyDescent="0.3">
      <c r="H1095" s="21"/>
      <c r="K1095" s="20"/>
    </row>
    <row r="1096" spans="8:11" ht="30" customHeight="1" x14ac:dyDescent="0.3">
      <c r="H1096" s="21"/>
      <c r="K1096" s="20"/>
    </row>
    <row r="1097" spans="8:11" ht="30" customHeight="1" x14ac:dyDescent="0.3">
      <c r="H1097" s="21"/>
      <c r="K1097" s="20"/>
    </row>
    <row r="1098" spans="8:11" ht="30" customHeight="1" x14ac:dyDescent="0.3">
      <c r="H1098" s="21"/>
      <c r="K1098" s="20"/>
    </row>
    <row r="1099" spans="8:11" ht="30" customHeight="1" x14ac:dyDescent="0.3">
      <c r="H1099" s="21"/>
      <c r="K1099" s="20"/>
    </row>
    <row r="1100" spans="8:11" ht="30" customHeight="1" x14ac:dyDescent="0.3">
      <c r="H1100" s="21"/>
      <c r="K1100" s="20"/>
    </row>
    <row r="1101" spans="8:11" ht="30" customHeight="1" x14ac:dyDescent="0.3">
      <c r="H1101" s="21"/>
      <c r="K1101" s="20"/>
    </row>
    <row r="1102" spans="8:11" ht="30" customHeight="1" x14ac:dyDescent="0.3">
      <c r="H1102" s="21"/>
      <c r="K1102" s="20"/>
    </row>
    <row r="1103" spans="8:11" ht="30" customHeight="1" x14ac:dyDescent="0.3">
      <c r="H1103" s="21"/>
      <c r="K1103" s="20"/>
    </row>
    <row r="1104" spans="8:11" ht="30" customHeight="1" x14ac:dyDescent="0.3">
      <c r="H1104" s="21"/>
      <c r="K1104" s="20"/>
    </row>
    <row r="1105" spans="8:11" ht="30" customHeight="1" x14ac:dyDescent="0.3">
      <c r="H1105" s="21"/>
      <c r="K1105" s="20"/>
    </row>
    <row r="1106" spans="8:11" ht="30" customHeight="1" x14ac:dyDescent="0.3">
      <c r="H1106" s="21"/>
      <c r="K1106" s="20"/>
    </row>
    <row r="1107" spans="8:11" ht="30" customHeight="1" x14ac:dyDescent="0.3">
      <c r="H1107" s="21"/>
      <c r="K1107" s="20"/>
    </row>
    <row r="1108" spans="8:11" ht="30" customHeight="1" x14ac:dyDescent="0.3">
      <c r="H1108" s="21"/>
      <c r="K1108" s="20"/>
    </row>
    <row r="1109" spans="8:11" ht="30" customHeight="1" x14ac:dyDescent="0.3">
      <c r="H1109" s="21"/>
      <c r="K1109" s="20"/>
    </row>
    <row r="1110" spans="8:11" ht="30" customHeight="1" x14ac:dyDescent="0.3">
      <c r="H1110" s="21"/>
      <c r="K1110" s="20"/>
    </row>
    <row r="1111" spans="8:11" ht="30" customHeight="1" x14ac:dyDescent="0.3">
      <c r="H1111" s="21"/>
      <c r="K1111" s="20"/>
    </row>
    <row r="1112" spans="8:11" ht="30" customHeight="1" x14ac:dyDescent="0.3">
      <c r="H1112" s="21"/>
      <c r="K1112" s="20"/>
    </row>
    <row r="1113" spans="8:11" ht="30" customHeight="1" x14ac:dyDescent="0.3">
      <c r="H1113" s="21"/>
      <c r="K1113" s="20"/>
    </row>
    <row r="1114" spans="8:11" ht="30" customHeight="1" x14ac:dyDescent="0.3">
      <c r="H1114" s="21"/>
      <c r="K1114" s="20"/>
    </row>
    <row r="1115" spans="8:11" ht="30" customHeight="1" x14ac:dyDescent="0.3">
      <c r="H1115" s="21"/>
      <c r="K1115" s="20"/>
    </row>
    <row r="1116" spans="8:11" ht="30" customHeight="1" x14ac:dyDescent="0.3">
      <c r="H1116" s="21"/>
      <c r="K1116" s="20"/>
    </row>
    <row r="1117" spans="8:11" ht="30" customHeight="1" x14ac:dyDescent="0.3">
      <c r="H1117" s="21"/>
      <c r="K1117" s="20"/>
    </row>
    <row r="1118" spans="8:11" ht="30" customHeight="1" x14ac:dyDescent="0.3">
      <c r="H1118" s="21"/>
      <c r="K1118" s="20"/>
    </row>
    <row r="1119" spans="8:11" ht="30" customHeight="1" x14ac:dyDescent="0.3">
      <c r="H1119" s="21"/>
      <c r="K1119" s="20"/>
    </row>
    <row r="1120" spans="8:11" ht="30" customHeight="1" x14ac:dyDescent="0.3">
      <c r="H1120" s="21"/>
      <c r="K1120" s="20"/>
    </row>
    <row r="1121" spans="8:11" ht="30" customHeight="1" x14ac:dyDescent="0.3">
      <c r="H1121" s="21"/>
      <c r="K1121" s="20"/>
    </row>
    <row r="1122" spans="8:11" ht="30" customHeight="1" x14ac:dyDescent="0.3">
      <c r="H1122" s="21"/>
      <c r="K1122" s="20"/>
    </row>
    <row r="1123" spans="8:11" ht="30" customHeight="1" x14ac:dyDescent="0.3">
      <c r="H1123" s="21"/>
      <c r="K1123" s="20"/>
    </row>
    <row r="1124" spans="8:11" ht="30" customHeight="1" x14ac:dyDescent="0.3">
      <c r="H1124" s="21"/>
      <c r="K1124" s="20"/>
    </row>
    <row r="1125" spans="8:11" ht="30" customHeight="1" x14ac:dyDescent="0.3">
      <c r="H1125" s="21"/>
      <c r="K1125" s="20"/>
    </row>
    <row r="1126" spans="8:11" ht="30" customHeight="1" x14ac:dyDescent="0.3">
      <c r="H1126" s="21"/>
      <c r="K1126" s="20"/>
    </row>
    <row r="1127" spans="8:11" ht="30" customHeight="1" x14ac:dyDescent="0.3">
      <c r="H1127" s="21"/>
      <c r="K1127" s="20"/>
    </row>
    <row r="1128" spans="8:11" ht="30" customHeight="1" x14ac:dyDescent="0.3">
      <c r="H1128" s="21"/>
      <c r="K1128" s="20"/>
    </row>
    <row r="1129" spans="8:11" ht="30" customHeight="1" x14ac:dyDescent="0.3">
      <c r="H1129" s="21"/>
      <c r="K1129" s="20"/>
    </row>
    <row r="1130" spans="8:11" ht="30" customHeight="1" x14ac:dyDescent="0.3">
      <c r="H1130" s="21"/>
      <c r="K1130" s="20"/>
    </row>
    <row r="1131" spans="8:11" ht="30" customHeight="1" x14ac:dyDescent="0.3">
      <c r="H1131" s="21"/>
      <c r="K1131" s="20"/>
    </row>
    <row r="1132" spans="8:11" ht="30" customHeight="1" x14ac:dyDescent="0.3">
      <c r="H1132" s="21"/>
      <c r="K1132" s="20"/>
    </row>
    <row r="1133" spans="8:11" ht="30" customHeight="1" x14ac:dyDescent="0.3">
      <c r="H1133" s="21"/>
      <c r="K1133" s="20"/>
    </row>
    <row r="1134" spans="8:11" ht="30" customHeight="1" x14ac:dyDescent="0.3">
      <c r="H1134" s="21"/>
      <c r="K1134" s="20"/>
    </row>
    <row r="1135" spans="8:11" ht="30" customHeight="1" x14ac:dyDescent="0.3">
      <c r="H1135" s="21"/>
      <c r="K1135" s="20"/>
    </row>
    <row r="1136" spans="8:11" ht="30" customHeight="1" x14ac:dyDescent="0.3">
      <c r="H1136" s="21"/>
      <c r="K1136" s="20"/>
    </row>
    <row r="1137" spans="8:11" ht="30" customHeight="1" x14ac:dyDescent="0.3">
      <c r="H1137" s="21"/>
      <c r="K1137" s="20"/>
    </row>
    <row r="1138" spans="8:11" ht="30" customHeight="1" x14ac:dyDescent="0.3">
      <c r="H1138" s="21"/>
      <c r="K1138" s="20"/>
    </row>
    <row r="1139" spans="8:11" ht="30" customHeight="1" x14ac:dyDescent="0.3">
      <c r="H1139" s="21"/>
      <c r="K1139" s="20"/>
    </row>
    <row r="1140" spans="8:11" ht="30" customHeight="1" x14ac:dyDescent="0.3">
      <c r="H1140" s="21"/>
      <c r="K1140" s="20"/>
    </row>
    <row r="1141" spans="8:11" ht="30" customHeight="1" x14ac:dyDescent="0.3">
      <c r="H1141" s="21"/>
      <c r="K1141" s="20"/>
    </row>
    <row r="1142" spans="8:11" ht="30" customHeight="1" x14ac:dyDescent="0.3">
      <c r="H1142" s="21"/>
      <c r="K1142" s="20"/>
    </row>
    <row r="1143" spans="8:11" ht="30" customHeight="1" x14ac:dyDescent="0.3">
      <c r="H1143" s="21"/>
      <c r="K1143" s="20"/>
    </row>
    <row r="1144" spans="8:11" ht="30" customHeight="1" x14ac:dyDescent="0.3">
      <c r="H1144" s="21"/>
      <c r="K1144" s="20"/>
    </row>
    <row r="1145" spans="8:11" ht="30" customHeight="1" x14ac:dyDescent="0.3">
      <c r="H1145" s="21"/>
      <c r="K1145" s="20"/>
    </row>
    <row r="1146" spans="8:11" ht="30" customHeight="1" x14ac:dyDescent="0.3">
      <c r="H1146" s="21"/>
      <c r="K1146" s="20"/>
    </row>
    <row r="1147" spans="8:11" ht="30" customHeight="1" x14ac:dyDescent="0.3">
      <c r="H1147" s="21"/>
      <c r="K1147" s="20"/>
    </row>
    <row r="1148" spans="8:11" ht="30" customHeight="1" x14ac:dyDescent="0.3">
      <c r="H1148" s="21"/>
      <c r="K1148" s="20"/>
    </row>
    <row r="1149" spans="8:11" ht="30" customHeight="1" x14ac:dyDescent="0.3">
      <c r="H1149" s="21"/>
      <c r="K1149" s="20"/>
    </row>
    <row r="1150" spans="8:11" ht="30" customHeight="1" x14ac:dyDescent="0.3">
      <c r="H1150" s="21"/>
      <c r="K1150" s="20"/>
    </row>
    <row r="1151" spans="8:11" ht="30" customHeight="1" x14ac:dyDescent="0.3">
      <c r="H1151" s="21"/>
      <c r="K1151" s="20"/>
    </row>
    <row r="1152" spans="8:11" ht="30" customHeight="1" x14ac:dyDescent="0.3">
      <c r="H1152" s="21"/>
      <c r="K1152" s="20"/>
    </row>
    <row r="1153" spans="8:11" ht="30" customHeight="1" x14ac:dyDescent="0.3">
      <c r="H1153" s="21"/>
      <c r="K1153" s="20"/>
    </row>
    <row r="1154" spans="8:11" ht="30" customHeight="1" x14ac:dyDescent="0.3">
      <c r="H1154" s="21"/>
      <c r="K1154" s="20"/>
    </row>
    <row r="1155" spans="8:11" ht="30" customHeight="1" x14ac:dyDescent="0.3">
      <c r="H1155" s="21"/>
      <c r="K1155" s="20"/>
    </row>
    <row r="1156" spans="8:11" ht="30" customHeight="1" x14ac:dyDescent="0.3">
      <c r="H1156" s="21"/>
      <c r="K1156" s="20"/>
    </row>
    <row r="1157" spans="8:11" ht="30" customHeight="1" x14ac:dyDescent="0.3">
      <c r="H1157" s="21"/>
      <c r="K1157" s="20"/>
    </row>
    <row r="1158" spans="8:11" ht="30" customHeight="1" x14ac:dyDescent="0.3">
      <c r="H1158" s="21"/>
      <c r="K1158" s="20"/>
    </row>
    <row r="1159" spans="8:11" ht="30" customHeight="1" x14ac:dyDescent="0.3">
      <c r="H1159" s="21"/>
      <c r="K1159" s="20"/>
    </row>
    <row r="1160" spans="8:11" ht="30" customHeight="1" x14ac:dyDescent="0.3">
      <c r="H1160" s="21"/>
      <c r="K1160" s="20"/>
    </row>
    <row r="1161" spans="8:11" ht="30" customHeight="1" x14ac:dyDescent="0.3">
      <c r="H1161" s="21"/>
      <c r="K1161" s="20"/>
    </row>
    <row r="1162" spans="8:11" ht="30" customHeight="1" x14ac:dyDescent="0.3">
      <c r="H1162" s="21"/>
      <c r="K1162" s="20"/>
    </row>
    <row r="1163" spans="8:11" ht="30" customHeight="1" x14ac:dyDescent="0.3">
      <c r="H1163" s="21"/>
      <c r="K1163" s="20"/>
    </row>
    <row r="1164" spans="8:11" ht="30" customHeight="1" x14ac:dyDescent="0.3">
      <c r="H1164" s="21"/>
      <c r="K1164" s="20"/>
    </row>
    <row r="1165" spans="8:11" ht="30" customHeight="1" x14ac:dyDescent="0.3">
      <c r="H1165" s="21"/>
      <c r="K1165" s="20"/>
    </row>
    <row r="1166" spans="8:11" ht="30" customHeight="1" x14ac:dyDescent="0.3">
      <c r="H1166" s="21"/>
      <c r="K1166" s="20"/>
    </row>
    <row r="1167" spans="8:11" ht="30" customHeight="1" x14ac:dyDescent="0.3">
      <c r="H1167" s="21"/>
      <c r="K1167" s="20"/>
    </row>
    <row r="1168" spans="8:11" ht="30" customHeight="1" x14ac:dyDescent="0.3">
      <c r="H1168" s="21"/>
      <c r="K1168" s="20"/>
    </row>
    <row r="1169" spans="8:11" ht="30" customHeight="1" x14ac:dyDescent="0.3">
      <c r="H1169" s="21"/>
      <c r="K1169" s="20"/>
    </row>
    <row r="1170" spans="8:11" ht="30" customHeight="1" x14ac:dyDescent="0.3">
      <c r="H1170" s="21"/>
      <c r="K1170" s="20"/>
    </row>
    <row r="1171" spans="8:11" ht="30" customHeight="1" x14ac:dyDescent="0.3">
      <c r="H1171" s="21"/>
      <c r="K1171" s="20"/>
    </row>
    <row r="1172" spans="8:11" ht="30" customHeight="1" x14ac:dyDescent="0.3">
      <c r="H1172" s="21"/>
      <c r="K1172" s="20"/>
    </row>
    <row r="1173" spans="8:11" ht="30" customHeight="1" x14ac:dyDescent="0.3">
      <c r="H1173" s="21"/>
      <c r="K1173" s="20"/>
    </row>
    <row r="1174" spans="8:11" ht="30" customHeight="1" x14ac:dyDescent="0.3">
      <c r="H1174" s="21"/>
      <c r="K1174" s="20"/>
    </row>
    <row r="1175" spans="8:11" ht="30" customHeight="1" x14ac:dyDescent="0.3">
      <c r="H1175" s="21"/>
      <c r="K1175" s="20"/>
    </row>
    <row r="1176" spans="8:11" ht="30" customHeight="1" x14ac:dyDescent="0.3">
      <c r="H1176" s="21"/>
      <c r="K1176" s="20"/>
    </row>
    <row r="1177" spans="8:11" ht="30" customHeight="1" x14ac:dyDescent="0.3">
      <c r="H1177" s="21"/>
      <c r="K1177" s="20"/>
    </row>
    <row r="1178" spans="8:11" ht="30" customHeight="1" x14ac:dyDescent="0.3">
      <c r="H1178" s="21"/>
      <c r="K1178" s="20"/>
    </row>
    <row r="1179" spans="8:11" ht="30" customHeight="1" x14ac:dyDescent="0.3">
      <c r="H1179" s="21"/>
      <c r="K1179" s="20"/>
    </row>
    <row r="1180" spans="8:11" ht="30" customHeight="1" x14ac:dyDescent="0.3">
      <c r="H1180" s="21"/>
      <c r="K1180" s="20"/>
    </row>
    <row r="1181" spans="8:11" ht="30" customHeight="1" x14ac:dyDescent="0.3">
      <c r="H1181" s="21"/>
      <c r="K1181" s="20"/>
    </row>
    <row r="1182" spans="8:11" ht="30" customHeight="1" x14ac:dyDescent="0.3">
      <c r="H1182" s="21"/>
      <c r="K1182" s="20"/>
    </row>
    <row r="1183" spans="8:11" ht="30" customHeight="1" x14ac:dyDescent="0.3">
      <c r="H1183" s="21"/>
      <c r="K1183" s="20"/>
    </row>
    <row r="1184" spans="8:11" ht="30" customHeight="1" x14ac:dyDescent="0.3">
      <c r="H1184" s="21"/>
      <c r="K1184" s="20"/>
    </row>
    <row r="1185" spans="8:11" ht="30" customHeight="1" x14ac:dyDescent="0.3">
      <c r="H1185" s="21"/>
      <c r="K1185" s="20"/>
    </row>
    <row r="1186" spans="8:11" ht="30" customHeight="1" x14ac:dyDescent="0.3">
      <c r="H1186" s="21"/>
      <c r="K1186" s="20"/>
    </row>
    <row r="1187" spans="8:11" ht="30" customHeight="1" x14ac:dyDescent="0.3">
      <c r="H1187" s="21"/>
      <c r="K1187" s="20"/>
    </row>
    <row r="1188" spans="8:11" ht="30" customHeight="1" x14ac:dyDescent="0.3">
      <c r="H1188" s="21"/>
      <c r="K1188" s="20"/>
    </row>
    <row r="1189" spans="8:11" ht="30" customHeight="1" x14ac:dyDescent="0.3">
      <c r="H1189" s="21"/>
      <c r="K1189" s="20"/>
    </row>
    <row r="1190" spans="8:11" ht="30" customHeight="1" x14ac:dyDescent="0.3">
      <c r="H1190" s="21"/>
      <c r="K1190" s="20"/>
    </row>
    <row r="1191" spans="8:11" ht="30" customHeight="1" x14ac:dyDescent="0.3">
      <c r="H1191" s="21"/>
      <c r="K1191" s="20"/>
    </row>
    <row r="1192" spans="8:11" ht="30" customHeight="1" x14ac:dyDescent="0.3">
      <c r="H1192" s="21"/>
      <c r="K1192" s="20"/>
    </row>
    <row r="1193" spans="8:11" ht="30" customHeight="1" x14ac:dyDescent="0.3">
      <c r="H1193" s="21"/>
      <c r="K1193" s="20"/>
    </row>
    <row r="1194" spans="8:11" ht="30" customHeight="1" x14ac:dyDescent="0.3">
      <c r="H1194" s="21"/>
      <c r="K1194" s="20"/>
    </row>
    <row r="1195" spans="8:11" ht="30" customHeight="1" x14ac:dyDescent="0.3">
      <c r="H1195" s="21"/>
      <c r="K1195" s="20"/>
    </row>
    <row r="1196" spans="8:11" ht="30" customHeight="1" x14ac:dyDescent="0.3">
      <c r="H1196" s="21"/>
      <c r="K1196" s="20"/>
    </row>
    <row r="1197" spans="8:11" ht="30" customHeight="1" x14ac:dyDescent="0.3">
      <c r="H1197" s="21"/>
      <c r="K1197" s="20"/>
    </row>
    <row r="1198" spans="8:11" ht="30" customHeight="1" x14ac:dyDescent="0.3">
      <c r="H1198" s="21"/>
      <c r="K1198" s="20"/>
    </row>
    <row r="1199" spans="8:11" ht="30" customHeight="1" x14ac:dyDescent="0.3">
      <c r="H1199" s="21"/>
      <c r="K1199" s="20"/>
    </row>
    <row r="1200" spans="8:11" ht="30" customHeight="1" x14ac:dyDescent="0.3">
      <c r="H1200" s="21"/>
      <c r="K1200" s="20"/>
    </row>
    <row r="1201" spans="8:11" ht="30" customHeight="1" x14ac:dyDescent="0.3">
      <c r="H1201" s="21"/>
      <c r="K1201" s="20"/>
    </row>
    <row r="1202" spans="8:11" ht="30" customHeight="1" x14ac:dyDescent="0.3">
      <c r="H1202" s="21"/>
      <c r="K1202" s="20"/>
    </row>
    <row r="1203" spans="8:11" ht="30" customHeight="1" x14ac:dyDescent="0.3">
      <c r="H1203" s="21"/>
      <c r="K1203" s="20"/>
    </row>
    <row r="1204" spans="8:11" ht="30" customHeight="1" x14ac:dyDescent="0.3">
      <c r="H1204" s="21"/>
      <c r="K1204" s="20"/>
    </row>
    <row r="1205" spans="8:11" ht="30" customHeight="1" x14ac:dyDescent="0.3">
      <c r="H1205" s="21"/>
      <c r="K1205" s="20"/>
    </row>
    <row r="1206" spans="8:11" ht="30" customHeight="1" x14ac:dyDescent="0.3">
      <c r="H1206" s="21"/>
      <c r="K1206" s="20"/>
    </row>
    <row r="1207" spans="8:11" ht="30" customHeight="1" x14ac:dyDescent="0.3">
      <c r="H1207" s="21"/>
      <c r="K1207" s="20"/>
    </row>
    <row r="1208" spans="8:11" ht="30" customHeight="1" x14ac:dyDescent="0.3">
      <c r="H1208" s="21"/>
      <c r="K1208" s="20"/>
    </row>
    <row r="1209" spans="8:11" ht="30" customHeight="1" x14ac:dyDescent="0.3">
      <c r="H1209" s="21"/>
      <c r="K1209" s="20"/>
    </row>
    <row r="1210" spans="8:11" ht="30" customHeight="1" x14ac:dyDescent="0.3">
      <c r="H1210" s="21"/>
      <c r="K1210" s="20"/>
    </row>
    <row r="1211" spans="8:11" ht="30" customHeight="1" x14ac:dyDescent="0.3">
      <c r="H1211" s="21"/>
      <c r="K1211" s="20"/>
    </row>
    <row r="1212" spans="8:11" ht="30" customHeight="1" x14ac:dyDescent="0.3">
      <c r="H1212" s="21"/>
      <c r="K1212" s="20"/>
    </row>
    <row r="1213" spans="8:11" ht="30" customHeight="1" x14ac:dyDescent="0.3">
      <c r="H1213" s="21"/>
      <c r="K1213" s="20"/>
    </row>
    <row r="1214" spans="8:11" ht="30" customHeight="1" x14ac:dyDescent="0.3">
      <c r="H1214" s="21"/>
      <c r="K1214" s="20"/>
    </row>
    <row r="1215" spans="8:11" ht="30" customHeight="1" x14ac:dyDescent="0.3">
      <c r="H1215" s="21"/>
      <c r="K1215" s="20"/>
    </row>
    <row r="1216" spans="8:11" ht="30" customHeight="1" x14ac:dyDescent="0.3">
      <c r="H1216" s="21"/>
      <c r="K1216" s="20"/>
    </row>
    <row r="1217" spans="8:11" ht="30" customHeight="1" x14ac:dyDescent="0.3">
      <c r="H1217" s="21"/>
      <c r="K1217" s="20"/>
    </row>
    <row r="1218" spans="8:11" ht="30" customHeight="1" x14ac:dyDescent="0.3">
      <c r="H1218" s="21"/>
      <c r="K1218" s="20"/>
    </row>
    <row r="1219" spans="8:11" ht="30" customHeight="1" x14ac:dyDescent="0.3">
      <c r="H1219" s="21"/>
      <c r="K1219" s="20"/>
    </row>
    <row r="1220" spans="8:11" ht="30" customHeight="1" x14ac:dyDescent="0.3">
      <c r="H1220" s="21"/>
      <c r="K1220" s="20"/>
    </row>
    <row r="1221" spans="8:11" ht="30" customHeight="1" x14ac:dyDescent="0.3">
      <c r="H1221" s="21"/>
      <c r="K1221" s="20"/>
    </row>
    <row r="1222" spans="8:11" ht="30" customHeight="1" x14ac:dyDescent="0.3">
      <c r="H1222" s="21"/>
      <c r="K1222" s="20"/>
    </row>
    <row r="1223" spans="8:11" ht="30" customHeight="1" x14ac:dyDescent="0.3">
      <c r="H1223" s="21"/>
      <c r="K1223" s="20"/>
    </row>
    <row r="1224" spans="8:11" ht="30" customHeight="1" x14ac:dyDescent="0.3">
      <c r="H1224" s="21"/>
      <c r="K1224" s="20"/>
    </row>
    <row r="1225" spans="8:11" ht="30" customHeight="1" x14ac:dyDescent="0.3">
      <c r="H1225" s="21"/>
      <c r="K1225" s="20"/>
    </row>
    <row r="1226" spans="8:11" ht="30" customHeight="1" x14ac:dyDescent="0.3">
      <c r="H1226" s="21"/>
      <c r="K1226" s="20"/>
    </row>
    <row r="1227" spans="8:11" ht="30" customHeight="1" x14ac:dyDescent="0.3">
      <c r="H1227" s="21"/>
      <c r="K1227" s="20"/>
    </row>
    <row r="1228" spans="8:11" ht="30" customHeight="1" x14ac:dyDescent="0.3">
      <c r="H1228" s="21"/>
      <c r="K1228" s="20"/>
    </row>
    <row r="1229" spans="8:11" ht="30" customHeight="1" x14ac:dyDescent="0.3">
      <c r="H1229" s="21"/>
      <c r="K1229" s="20"/>
    </row>
    <row r="1230" spans="8:11" ht="30" customHeight="1" x14ac:dyDescent="0.3">
      <c r="H1230" s="21"/>
      <c r="K1230" s="20"/>
    </row>
    <row r="1231" spans="8:11" ht="30" customHeight="1" x14ac:dyDescent="0.3">
      <c r="H1231" s="21"/>
      <c r="K1231" s="20"/>
    </row>
    <row r="1232" spans="8:11" ht="30" customHeight="1" x14ac:dyDescent="0.3">
      <c r="H1232" s="21"/>
      <c r="K1232" s="20"/>
    </row>
    <row r="1233" spans="8:11" ht="30" customHeight="1" x14ac:dyDescent="0.3">
      <c r="H1233" s="21"/>
      <c r="K1233" s="20"/>
    </row>
    <row r="1234" spans="8:11" ht="30" customHeight="1" x14ac:dyDescent="0.3">
      <c r="H1234" s="21"/>
      <c r="K1234" s="20"/>
    </row>
    <row r="1235" spans="8:11" ht="30" customHeight="1" x14ac:dyDescent="0.3">
      <c r="H1235" s="21"/>
      <c r="K1235" s="20"/>
    </row>
    <row r="1236" spans="8:11" ht="30" customHeight="1" x14ac:dyDescent="0.3">
      <c r="H1236" s="21"/>
      <c r="K1236" s="20"/>
    </row>
    <row r="1237" spans="8:11" ht="30" customHeight="1" x14ac:dyDescent="0.3">
      <c r="H1237" s="21"/>
      <c r="K1237" s="20"/>
    </row>
    <row r="1238" spans="8:11" ht="30" customHeight="1" x14ac:dyDescent="0.3">
      <c r="H1238" s="21"/>
      <c r="K1238" s="20"/>
    </row>
    <row r="1239" spans="8:11" ht="30" customHeight="1" x14ac:dyDescent="0.3">
      <c r="H1239" s="21"/>
      <c r="K1239" s="20"/>
    </row>
    <row r="1240" spans="8:11" ht="30" customHeight="1" x14ac:dyDescent="0.3">
      <c r="H1240" s="21"/>
      <c r="K1240" s="20"/>
    </row>
    <row r="1241" spans="8:11" ht="30" customHeight="1" x14ac:dyDescent="0.3">
      <c r="H1241" s="21"/>
      <c r="K1241" s="20"/>
    </row>
    <row r="1242" spans="8:11" ht="30" customHeight="1" x14ac:dyDescent="0.3">
      <c r="H1242" s="21"/>
      <c r="K1242" s="20"/>
    </row>
    <row r="1243" spans="8:11" ht="30" customHeight="1" x14ac:dyDescent="0.3">
      <c r="H1243" s="21"/>
      <c r="K1243" s="20"/>
    </row>
    <row r="1244" spans="8:11" ht="30" customHeight="1" x14ac:dyDescent="0.3">
      <c r="H1244" s="21"/>
      <c r="K1244" s="20"/>
    </row>
    <row r="1245" spans="8:11" ht="30" customHeight="1" x14ac:dyDescent="0.3">
      <c r="H1245" s="21"/>
      <c r="K1245" s="20"/>
    </row>
    <row r="1246" spans="8:11" ht="30" customHeight="1" x14ac:dyDescent="0.3">
      <c r="H1246" s="21"/>
      <c r="K1246" s="20"/>
    </row>
    <row r="1247" spans="8:11" ht="30" customHeight="1" x14ac:dyDescent="0.3">
      <c r="H1247" s="21"/>
      <c r="K1247" s="20"/>
    </row>
    <row r="1248" spans="8:11" ht="30" customHeight="1" x14ac:dyDescent="0.3">
      <c r="H1248" s="21"/>
      <c r="K1248" s="20"/>
    </row>
    <row r="1249" spans="8:11" ht="30" customHeight="1" x14ac:dyDescent="0.3">
      <c r="H1249" s="21"/>
      <c r="K1249" s="20"/>
    </row>
    <row r="1250" spans="8:11" ht="30" customHeight="1" x14ac:dyDescent="0.3">
      <c r="H1250" s="21"/>
      <c r="K1250" s="20"/>
    </row>
    <row r="1251" spans="8:11" ht="30" customHeight="1" x14ac:dyDescent="0.3">
      <c r="H1251" s="21"/>
      <c r="K1251" s="20"/>
    </row>
    <row r="1252" spans="8:11" ht="30" customHeight="1" x14ac:dyDescent="0.3">
      <c r="H1252" s="21"/>
      <c r="K1252" s="20"/>
    </row>
    <row r="1253" spans="8:11" ht="30" customHeight="1" x14ac:dyDescent="0.3">
      <c r="H1253" s="21"/>
      <c r="K1253" s="20"/>
    </row>
    <row r="1254" spans="8:11" ht="30" customHeight="1" x14ac:dyDescent="0.3">
      <c r="H1254" s="21"/>
      <c r="K1254" s="20"/>
    </row>
    <row r="1255" spans="8:11" ht="30" customHeight="1" x14ac:dyDescent="0.3">
      <c r="H1255" s="21"/>
      <c r="K1255" s="20"/>
    </row>
    <row r="1256" spans="8:11" ht="30" customHeight="1" x14ac:dyDescent="0.3">
      <c r="H1256" s="21"/>
      <c r="K1256" s="20"/>
    </row>
    <row r="1257" spans="8:11" ht="30" customHeight="1" x14ac:dyDescent="0.3">
      <c r="H1257" s="21"/>
      <c r="K1257" s="20"/>
    </row>
    <row r="1258" spans="8:11" ht="30" customHeight="1" x14ac:dyDescent="0.3">
      <c r="H1258" s="21"/>
      <c r="K1258" s="20"/>
    </row>
    <row r="1259" spans="8:11" ht="30" customHeight="1" x14ac:dyDescent="0.3">
      <c r="H1259" s="21"/>
      <c r="K1259" s="20"/>
    </row>
    <row r="1260" spans="8:11" ht="30" customHeight="1" x14ac:dyDescent="0.3">
      <c r="H1260" s="21"/>
      <c r="K1260" s="20"/>
    </row>
    <row r="1261" spans="8:11" ht="30" customHeight="1" x14ac:dyDescent="0.3">
      <c r="H1261" s="21"/>
      <c r="K1261" s="20"/>
    </row>
    <row r="1262" spans="8:11" ht="30" customHeight="1" x14ac:dyDescent="0.3">
      <c r="H1262" s="21"/>
      <c r="K1262" s="20"/>
    </row>
    <row r="1263" spans="8:11" ht="30" customHeight="1" x14ac:dyDescent="0.3">
      <c r="H1263" s="21"/>
      <c r="K1263" s="20"/>
    </row>
    <row r="1264" spans="8:11" ht="30" customHeight="1" x14ac:dyDescent="0.3">
      <c r="H1264" s="21"/>
      <c r="K1264" s="20"/>
    </row>
    <row r="1265" spans="8:11" ht="30" customHeight="1" x14ac:dyDescent="0.3">
      <c r="H1265" s="21"/>
      <c r="K1265" s="20"/>
    </row>
    <row r="1266" spans="8:11" ht="30" customHeight="1" x14ac:dyDescent="0.3">
      <c r="H1266" s="21"/>
      <c r="K1266" s="20"/>
    </row>
    <row r="1267" spans="8:11" ht="30" customHeight="1" x14ac:dyDescent="0.3">
      <c r="H1267" s="21"/>
      <c r="K1267" s="20"/>
    </row>
    <row r="1268" spans="8:11" ht="30" customHeight="1" x14ac:dyDescent="0.3">
      <c r="H1268" s="21"/>
      <c r="K1268" s="20"/>
    </row>
    <row r="1269" spans="8:11" ht="30" customHeight="1" x14ac:dyDescent="0.3">
      <c r="H1269" s="21"/>
      <c r="K1269" s="20"/>
    </row>
    <row r="1270" spans="8:11" ht="30" customHeight="1" x14ac:dyDescent="0.3">
      <c r="H1270" s="21"/>
      <c r="K1270" s="20"/>
    </row>
    <row r="1271" spans="8:11" ht="30" customHeight="1" x14ac:dyDescent="0.3">
      <c r="H1271" s="21"/>
      <c r="K1271" s="20"/>
    </row>
    <row r="1272" spans="8:11" ht="30" customHeight="1" x14ac:dyDescent="0.3">
      <c r="H1272" s="21"/>
      <c r="K1272" s="20"/>
    </row>
    <row r="1273" spans="8:11" ht="30" customHeight="1" x14ac:dyDescent="0.3">
      <c r="H1273" s="21"/>
      <c r="K1273" s="20"/>
    </row>
    <row r="1274" spans="8:11" ht="30" customHeight="1" x14ac:dyDescent="0.3">
      <c r="H1274" s="21"/>
      <c r="K1274" s="20"/>
    </row>
    <row r="1275" spans="8:11" ht="30" customHeight="1" x14ac:dyDescent="0.3">
      <c r="H1275" s="21"/>
      <c r="K1275" s="20"/>
    </row>
    <row r="1276" spans="8:11" ht="30" customHeight="1" x14ac:dyDescent="0.3">
      <c r="H1276" s="21"/>
      <c r="K1276" s="20"/>
    </row>
    <row r="1277" spans="8:11" ht="30" customHeight="1" x14ac:dyDescent="0.3">
      <c r="H1277" s="21"/>
      <c r="K1277" s="20"/>
    </row>
    <row r="1278" spans="8:11" ht="30" customHeight="1" x14ac:dyDescent="0.3">
      <c r="H1278" s="21"/>
      <c r="K1278" s="20"/>
    </row>
    <row r="1279" spans="8:11" ht="30" customHeight="1" x14ac:dyDescent="0.3">
      <c r="H1279" s="21"/>
      <c r="K1279" s="20"/>
    </row>
    <row r="1280" spans="8:11" ht="30" customHeight="1" x14ac:dyDescent="0.3">
      <c r="H1280" s="21"/>
      <c r="K1280" s="20"/>
    </row>
    <row r="1281" spans="8:11" ht="30" customHeight="1" x14ac:dyDescent="0.3">
      <c r="H1281" s="21"/>
      <c r="K1281" s="20"/>
    </row>
    <row r="1282" spans="8:11" ht="30" customHeight="1" x14ac:dyDescent="0.3">
      <c r="H1282" s="21"/>
      <c r="K1282" s="20"/>
    </row>
    <row r="1283" spans="8:11" ht="30" customHeight="1" x14ac:dyDescent="0.3">
      <c r="H1283" s="21"/>
      <c r="K1283" s="20"/>
    </row>
    <row r="1284" spans="8:11" ht="30" customHeight="1" x14ac:dyDescent="0.3">
      <c r="H1284" s="21"/>
      <c r="K1284" s="20"/>
    </row>
    <row r="1285" spans="8:11" ht="30" customHeight="1" x14ac:dyDescent="0.3">
      <c r="H1285" s="21"/>
      <c r="K1285" s="20"/>
    </row>
    <row r="1286" spans="8:11" ht="30" customHeight="1" x14ac:dyDescent="0.3">
      <c r="H1286" s="21"/>
      <c r="K1286" s="20"/>
    </row>
    <row r="1287" spans="8:11" ht="30" customHeight="1" x14ac:dyDescent="0.3">
      <c r="H1287" s="21"/>
      <c r="K1287" s="20"/>
    </row>
    <row r="1288" spans="8:11" ht="30" customHeight="1" x14ac:dyDescent="0.3">
      <c r="H1288" s="21"/>
      <c r="K1288" s="20"/>
    </row>
    <row r="1289" spans="8:11" ht="30" customHeight="1" x14ac:dyDescent="0.3">
      <c r="H1289" s="21"/>
      <c r="K1289" s="20"/>
    </row>
    <row r="1290" spans="8:11" ht="30" customHeight="1" x14ac:dyDescent="0.3">
      <c r="H1290" s="21"/>
      <c r="K1290" s="20"/>
    </row>
    <row r="1291" spans="8:11" ht="30" customHeight="1" x14ac:dyDescent="0.3">
      <c r="H1291" s="21"/>
      <c r="K1291" s="20"/>
    </row>
    <row r="1292" spans="8:11" ht="30" customHeight="1" x14ac:dyDescent="0.3">
      <c r="H1292" s="21"/>
      <c r="K1292" s="20"/>
    </row>
    <row r="1293" spans="8:11" ht="30" customHeight="1" x14ac:dyDescent="0.3">
      <c r="H1293" s="21"/>
      <c r="K1293" s="20"/>
    </row>
    <row r="1294" spans="8:11" ht="30" customHeight="1" x14ac:dyDescent="0.3">
      <c r="H1294" s="21"/>
      <c r="K1294" s="20"/>
    </row>
    <row r="1295" spans="8:11" ht="30" customHeight="1" x14ac:dyDescent="0.3">
      <c r="H1295" s="21"/>
      <c r="K1295" s="20"/>
    </row>
    <row r="1296" spans="8:11" ht="30" customHeight="1" x14ac:dyDescent="0.3">
      <c r="H1296" s="21"/>
      <c r="K1296" s="20"/>
    </row>
    <row r="1297" spans="8:11" ht="30" customHeight="1" x14ac:dyDescent="0.3">
      <c r="H1297" s="21"/>
      <c r="K1297" s="20"/>
    </row>
    <row r="1298" spans="8:11" ht="30" customHeight="1" x14ac:dyDescent="0.3">
      <c r="H1298" s="21"/>
      <c r="K1298" s="20"/>
    </row>
    <row r="1299" spans="8:11" ht="30" customHeight="1" x14ac:dyDescent="0.3">
      <c r="H1299" s="21"/>
      <c r="K1299" s="20"/>
    </row>
    <row r="1300" spans="8:11" ht="30" customHeight="1" x14ac:dyDescent="0.3">
      <c r="H1300" s="21"/>
      <c r="K1300" s="20"/>
    </row>
    <row r="1301" spans="8:11" ht="30" customHeight="1" x14ac:dyDescent="0.3">
      <c r="H1301" s="21"/>
      <c r="K1301" s="20"/>
    </row>
    <row r="1302" spans="8:11" ht="30" customHeight="1" x14ac:dyDescent="0.3">
      <c r="H1302" s="21"/>
      <c r="K1302" s="20"/>
    </row>
    <row r="1303" spans="8:11" ht="30" customHeight="1" x14ac:dyDescent="0.3">
      <c r="H1303" s="21"/>
      <c r="K1303" s="20"/>
    </row>
    <row r="1304" spans="8:11" ht="30" customHeight="1" x14ac:dyDescent="0.3">
      <c r="H1304" s="21"/>
      <c r="K1304" s="20"/>
    </row>
    <row r="1305" spans="8:11" ht="30" customHeight="1" x14ac:dyDescent="0.3">
      <c r="H1305" s="21"/>
      <c r="K1305" s="20"/>
    </row>
    <row r="1306" spans="8:11" ht="30" customHeight="1" x14ac:dyDescent="0.3">
      <c r="H1306" s="21"/>
      <c r="K1306" s="20"/>
    </row>
    <row r="1307" spans="8:11" ht="30" customHeight="1" x14ac:dyDescent="0.3">
      <c r="H1307" s="21"/>
      <c r="K1307" s="20"/>
    </row>
    <row r="1308" spans="8:11" ht="30" customHeight="1" x14ac:dyDescent="0.3">
      <c r="H1308" s="21"/>
      <c r="K1308" s="20"/>
    </row>
    <row r="1309" spans="8:11" ht="30" customHeight="1" x14ac:dyDescent="0.3">
      <c r="H1309" s="21"/>
      <c r="K1309" s="20"/>
    </row>
    <row r="1310" spans="8:11" ht="30" customHeight="1" x14ac:dyDescent="0.3">
      <c r="H1310" s="21"/>
      <c r="K1310" s="20"/>
    </row>
    <row r="1311" spans="8:11" ht="30" customHeight="1" x14ac:dyDescent="0.3">
      <c r="H1311" s="21"/>
      <c r="K1311" s="20"/>
    </row>
    <row r="1312" spans="8:11" ht="30" customHeight="1" x14ac:dyDescent="0.3">
      <c r="H1312" s="21"/>
      <c r="K1312" s="20"/>
    </row>
    <row r="1313" spans="8:11" ht="30" customHeight="1" x14ac:dyDescent="0.3">
      <c r="H1313" s="21"/>
      <c r="K1313" s="20"/>
    </row>
    <row r="1314" spans="8:11" ht="30" customHeight="1" x14ac:dyDescent="0.3">
      <c r="H1314" s="21"/>
      <c r="K1314" s="20"/>
    </row>
    <row r="1315" spans="8:11" ht="30" customHeight="1" x14ac:dyDescent="0.3">
      <c r="H1315" s="21"/>
      <c r="K1315" s="20"/>
    </row>
    <row r="1316" spans="8:11" ht="30" customHeight="1" x14ac:dyDescent="0.3">
      <c r="H1316" s="21"/>
      <c r="K1316" s="20"/>
    </row>
    <row r="1317" spans="8:11" ht="30" customHeight="1" x14ac:dyDescent="0.3">
      <c r="H1317" s="21"/>
      <c r="K1317" s="20"/>
    </row>
    <row r="1318" spans="8:11" ht="30" customHeight="1" x14ac:dyDescent="0.3">
      <c r="H1318" s="21"/>
      <c r="K1318" s="20"/>
    </row>
    <row r="1319" spans="8:11" ht="30" customHeight="1" x14ac:dyDescent="0.3">
      <c r="H1319" s="21"/>
      <c r="K1319" s="20"/>
    </row>
    <row r="1320" spans="8:11" ht="30" customHeight="1" x14ac:dyDescent="0.3">
      <c r="H1320" s="21"/>
      <c r="K1320" s="20"/>
    </row>
    <row r="1321" spans="8:11" ht="30" customHeight="1" x14ac:dyDescent="0.3">
      <c r="H1321" s="21"/>
      <c r="K1321" s="20"/>
    </row>
    <row r="1322" spans="8:11" ht="30" customHeight="1" x14ac:dyDescent="0.3">
      <c r="H1322" s="21"/>
      <c r="K1322" s="20"/>
    </row>
    <row r="1323" spans="8:11" ht="30" customHeight="1" x14ac:dyDescent="0.3">
      <c r="H1323" s="21"/>
      <c r="K1323" s="20"/>
    </row>
    <row r="1324" spans="8:11" ht="30" customHeight="1" x14ac:dyDescent="0.3">
      <c r="H1324" s="21"/>
      <c r="K1324" s="20"/>
    </row>
    <row r="1325" spans="8:11" ht="30" customHeight="1" x14ac:dyDescent="0.3">
      <c r="H1325" s="21"/>
      <c r="K1325" s="20"/>
    </row>
    <row r="1326" spans="8:11" ht="30" customHeight="1" x14ac:dyDescent="0.3">
      <c r="H1326" s="21"/>
      <c r="K1326" s="20"/>
    </row>
    <row r="1327" spans="8:11" ht="30" customHeight="1" x14ac:dyDescent="0.3">
      <c r="H1327" s="21"/>
      <c r="K1327" s="20"/>
    </row>
    <row r="1328" spans="8:11" ht="30" customHeight="1" x14ac:dyDescent="0.3">
      <c r="H1328" s="21"/>
      <c r="K1328" s="20"/>
    </row>
    <row r="1329" spans="8:11" ht="30" customHeight="1" x14ac:dyDescent="0.3">
      <c r="H1329" s="21"/>
      <c r="K1329" s="20"/>
    </row>
    <row r="1330" spans="8:11" ht="30" customHeight="1" x14ac:dyDescent="0.3">
      <c r="H1330" s="21"/>
      <c r="K1330" s="20"/>
    </row>
    <row r="1331" spans="8:11" ht="30" customHeight="1" x14ac:dyDescent="0.3">
      <c r="H1331" s="21"/>
      <c r="K1331" s="20"/>
    </row>
    <row r="1332" spans="8:11" ht="30" customHeight="1" x14ac:dyDescent="0.3">
      <c r="H1332" s="21"/>
      <c r="K1332" s="20"/>
    </row>
    <row r="1333" spans="8:11" ht="30" customHeight="1" x14ac:dyDescent="0.3">
      <c r="H1333" s="21"/>
      <c r="K1333" s="20"/>
    </row>
    <row r="1334" spans="8:11" ht="30" customHeight="1" x14ac:dyDescent="0.3">
      <c r="H1334" s="21"/>
      <c r="K1334" s="20"/>
    </row>
    <row r="1335" spans="8:11" ht="30" customHeight="1" x14ac:dyDescent="0.3">
      <c r="H1335" s="21"/>
      <c r="K1335" s="20"/>
    </row>
    <row r="1336" spans="8:11" ht="30" customHeight="1" x14ac:dyDescent="0.3">
      <c r="H1336" s="21"/>
      <c r="K1336" s="20"/>
    </row>
    <row r="1337" spans="8:11" ht="30" customHeight="1" x14ac:dyDescent="0.3">
      <c r="H1337" s="21"/>
      <c r="K1337" s="20"/>
    </row>
    <row r="1338" spans="8:11" ht="30" customHeight="1" x14ac:dyDescent="0.3">
      <c r="H1338" s="21"/>
      <c r="K1338" s="20"/>
    </row>
    <row r="1339" spans="8:11" ht="30" customHeight="1" x14ac:dyDescent="0.3">
      <c r="H1339" s="21"/>
      <c r="K1339" s="20"/>
    </row>
    <row r="1340" spans="8:11" ht="30" customHeight="1" x14ac:dyDescent="0.3">
      <c r="H1340" s="21"/>
      <c r="K1340" s="20"/>
    </row>
    <row r="1341" spans="8:11" ht="30" customHeight="1" x14ac:dyDescent="0.3">
      <c r="H1341" s="21"/>
      <c r="K1341" s="20"/>
    </row>
    <row r="1342" spans="8:11" ht="30" customHeight="1" x14ac:dyDescent="0.3">
      <c r="H1342" s="21"/>
      <c r="K1342" s="20"/>
    </row>
    <row r="1343" spans="8:11" ht="30" customHeight="1" x14ac:dyDescent="0.3">
      <c r="H1343" s="21"/>
      <c r="K1343" s="20"/>
    </row>
    <row r="1344" spans="8:11" ht="30" customHeight="1" x14ac:dyDescent="0.3">
      <c r="H1344" s="21"/>
      <c r="K1344" s="20"/>
    </row>
    <row r="1345" spans="8:11" ht="30" customHeight="1" x14ac:dyDescent="0.3">
      <c r="H1345" s="21"/>
      <c r="K1345" s="20"/>
    </row>
    <row r="1346" spans="8:11" ht="30" customHeight="1" x14ac:dyDescent="0.3">
      <c r="H1346" s="21"/>
      <c r="K1346" s="20"/>
    </row>
    <row r="1347" spans="8:11" ht="30" customHeight="1" x14ac:dyDescent="0.3">
      <c r="H1347" s="21"/>
      <c r="K1347" s="20"/>
    </row>
    <row r="1348" spans="8:11" ht="30" customHeight="1" x14ac:dyDescent="0.3">
      <c r="H1348" s="21"/>
      <c r="K1348" s="20"/>
    </row>
    <row r="1349" spans="8:11" ht="30" customHeight="1" x14ac:dyDescent="0.3">
      <c r="H1349" s="21"/>
      <c r="K1349" s="20"/>
    </row>
    <row r="1350" spans="8:11" ht="30" customHeight="1" x14ac:dyDescent="0.3">
      <c r="H1350" s="21"/>
      <c r="K1350" s="20"/>
    </row>
    <row r="1351" spans="8:11" ht="30" customHeight="1" x14ac:dyDescent="0.3">
      <c r="H1351" s="21"/>
      <c r="K1351" s="20"/>
    </row>
    <row r="1352" spans="8:11" ht="30" customHeight="1" x14ac:dyDescent="0.3">
      <c r="H1352" s="21"/>
      <c r="K1352" s="20"/>
    </row>
    <row r="1353" spans="8:11" ht="30" customHeight="1" x14ac:dyDescent="0.3">
      <c r="H1353" s="21"/>
      <c r="K1353" s="20"/>
    </row>
    <row r="1354" spans="8:11" ht="30" customHeight="1" x14ac:dyDescent="0.3">
      <c r="H1354" s="21"/>
      <c r="K1354" s="20"/>
    </row>
    <row r="1355" spans="8:11" ht="30" customHeight="1" x14ac:dyDescent="0.3">
      <c r="H1355" s="21"/>
      <c r="K1355" s="20"/>
    </row>
    <row r="1356" spans="8:11" ht="30" customHeight="1" x14ac:dyDescent="0.3">
      <c r="H1356" s="21"/>
      <c r="K1356" s="20"/>
    </row>
    <row r="1357" spans="8:11" ht="30" customHeight="1" x14ac:dyDescent="0.3">
      <c r="H1357" s="21"/>
      <c r="K1357" s="20"/>
    </row>
    <row r="1358" spans="8:11" ht="30" customHeight="1" x14ac:dyDescent="0.3">
      <c r="H1358" s="21"/>
      <c r="K1358" s="20"/>
    </row>
    <row r="1359" spans="8:11" ht="30" customHeight="1" x14ac:dyDescent="0.3">
      <c r="H1359" s="21"/>
      <c r="K1359" s="20"/>
    </row>
    <row r="1360" spans="8:11" ht="30" customHeight="1" x14ac:dyDescent="0.3">
      <c r="H1360" s="21"/>
      <c r="K1360" s="20"/>
    </row>
    <row r="1361" spans="8:11" ht="30" customHeight="1" x14ac:dyDescent="0.3">
      <c r="H1361" s="21"/>
      <c r="K1361" s="20"/>
    </row>
    <row r="1362" spans="8:11" ht="30" customHeight="1" x14ac:dyDescent="0.3">
      <c r="H1362" s="21"/>
      <c r="K1362" s="20"/>
    </row>
    <row r="1363" spans="8:11" ht="30" customHeight="1" x14ac:dyDescent="0.3">
      <c r="H1363" s="21"/>
      <c r="K1363" s="20"/>
    </row>
    <row r="1364" spans="8:11" ht="30" customHeight="1" x14ac:dyDescent="0.3">
      <c r="H1364" s="21"/>
      <c r="K1364" s="20"/>
    </row>
    <row r="1365" spans="8:11" ht="30" customHeight="1" x14ac:dyDescent="0.3">
      <c r="H1365" s="21"/>
      <c r="K1365" s="20"/>
    </row>
    <row r="1366" spans="8:11" ht="30" customHeight="1" x14ac:dyDescent="0.3">
      <c r="H1366" s="21"/>
      <c r="K1366" s="20"/>
    </row>
    <row r="1367" spans="8:11" ht="30" customHeight="1" x14ac:dyDescent="0.3">
      <c r="H1367" s="21"/>
      <c r="K1367" s="20"/>
    </row>
    <row r="1368" spans="8:11" ht="30" customHeight="1" x14ac:dyDescent="0.3">
      <c r="H1368" s="21"/>
      <c r="K1368" s="20"/>
    </row>
    <row r="1369" spans="8:11" ht="30" customHeight="1" x14ac:dyDescent="0.3">
      <c r="H1369" s="21"/>
      <c r="K1369" s="20"/>
    </row>
    <row r="1370" spans="8:11" ht="30" customHeight="1" x14ac:dyDescent="0.3">
      <c r="H1370" s="21"/>
      <c r="K1370" s="20"/>
    </row>
    <row r="1371" spans="8:11" ht="30" customHeight="1" x14ac:dyDescent="0.3">
      <c r="H1371" s="21"/>
      <c r="K1371" s="20"/>
    </row>
    <row r="1372" spans="8:11" ht="30" customHeight="1" x14ac:dyDescent="0.3">
      <c r="H1372" s="21"/>
      <c r="K1372" s="20"/>
    </row>
    <row r="1373" spans="8:11" ht="30" customHeight="1" x14ac:dyDescent="0.3">
      <c r="H1373" s="21"/>
      <c r="K1373" s="20"/>
    </row>
    <row r="1374" spans="8:11" ht="30" customHeight="1" x14ac:dyDescent="0.3">
      <c r="H1374" s="21"/>
      <c r="K1374" s="20"/>
    </row>
    <row r="1375" spans="8:11" ht="30" customHeight="1" x14ac:dyDescent="0.3">
      <c r="H1375" s="21"/>
      <c r="K1375" s="20"/>
    </row>
    <row r="1376" spans="8:11" ht="30" customHeight="1" x14ac:dyDescent="0.3">
      <c r="H1376" s="21"/>
      <c r="K1376" s="20"/>
    </row>
    <row r="1377" spans="8:11" ht="30" customHeight="1" x14ac:dyDescent="0.3">
      <c r="H1377" s="21"/>
      <c r="K1377" s="20"/>
    </row>
    <row r="1378" spans="8:11" ht="30" customHeight="1" x14ac:dyDescent="0.3">
      <c r="H1378" s="21"/>
      <c r="K1378" s="20"/>
    </row>
    <row r="1379" spans="8:11" ht="30" customHeight="1" x14ac:dyDescent="0.3">
      <c r="H1379" s="21"/>
      <c r="K1379" s="20"/>
    </row>
    <row r="1380" spans="8:11" ht="30" customHeight="1" x14ac:dyDescent="0.3">
      <c r="H1380" s="21"/>
      <c r="K1380" s="20"/>
    </row>
    <row r="1381" spans="8:11" ht="30" customHeight="1" x14ac:dyDescent="0.3">
      <c r="H1381" s="21"/>
      <c r="K1381" s="20"/>
    </row>
    <row r="1382" spans="8:11" ht="30" customHeight="1" x14ac:dyDescent="0.3">
      <c r="H1382" s="21"/>
      <c r="K1382" s="20"/>
    </row>
    <row r="1383" spans="8:11" ht="30" customHeight="1" x14ac:dyDescent="0.3">
      <c r="H1383" s="21"/>
      <c r="K1383" s="20"/>
    </row>
    <row r="1384" spans="8:11" ht="30" customHeight="1" x14ac:dyDescent="0.3">
      <c r="H1384" s="21"/>
      <c r="K1384" s="20"/>
    </row>
    <row r="1385" spans="8:11" ht="30" customHeight="1" x14ac:dyDescent="0.3">
      <c r="H1385" s="21"/>
      <c r="K1385" s="20"/>
    </row>
    <row r="1386" spans="8:11" ht="30" customHeight="1" x14ac:dyDescent="0.3">
      <c r="H1386" s="21"/>
      <c r="K1386" s="20"/>
    </row>
    <row r="1387" spans="8:11" ht="30" customHeight="1" x14ac:dyDescent="0.3">
      <c r="H1387" s="21"/>
      <c r="K1387" s="20"/>
    </row>
    <row r="1388" spans="8:11" ht="30" customHeight="1" x14ac:dyDescent="0.3">
      <c r="H1388" s="21"/>
      <c r="K1388" s="20"/>
    </row>
    <row r="1389" spans="8:11" ht="30" customHeight="1" x14ac:dyDescent="0.3">
      <c r="H1389" s="21"/>
      <c r="K1389" s="20"/>
    </row>
    <row r="1390" spans="8:11" ht="30" customHeight="1" x14ac:dyDescent="0.3">
      <c r="H1390" s="21"/>
      <c r="K1390" s="20"/>
    </row>
    <row r="1391" spans="8:11" ht="30" customHeight="1" x14ac:dyDescent="0.3">
      <c r="H1391" s="21"/>
      <c r="K1391" s="20"/>
    </row>
    <row r="1392" spans="8:11" ht="30" customHeight="1" x14ac:dyDescent="0.3">
      <c r="H1392" s="21"/>
      <c r="K1392" s="20"/>
    </row>
    <row r="1393" spans="8:11" ht="30" customHeight="1" x14ac:dyDescent="0.3">
      <c r="H1393" s="21"/>
      <c r="K1393" s="20"/>
    </row>
    <row r="1394" spans="8:11" ht="30" customHeight="1" x14ac:dyDescent="0.3">
      <c r="H1394" s="21"/>
      <c r="K1394" s="20"/>
    </row>
    <row r="1395" spans="8:11" ht="30" customHeight="1" x14ac:dyDescent="0.3">
      <c r="H1395" s="21"/>
      <c r="K1395" s="20"/>
    </row>
    <row r="1396" spans="8:11" ht="30" customHeight="1" x14ac:dyDescent="0.3">
      <c r="H1396" s="21"/>
      <c r="K1396" s="20"/>
    </row>
    <row r="1397" spans="8:11" ht="30" customHeight="1" x14ac:dyDescent="0.3">
      <c r="H1397" s="21"/>
      <c r="K1397" s="20"/>
    </row>
    <row r="1398" spans="8:11" ht="30" customHeight="1" x14ac:dyDescent="0.3">
      <c r="H1398" s="21"/>
      <c r="K1398" s="20"/>
    </row>
    <row r="1399" spans="8:11" ht="30" customHeight="1" x14ac:dyDescent="0.3">
      <c r="H1399" s="21"/>
      <c r="K1399" s="20"/>
    </row>
    <row r="1400" spans="8:11" ht="30" customHeight="1" x14ac:dyDescent="0.3">
      <c r="H1400" s="21"/>
      <c r="K1400" s="20"/>
    </row>
    <row r="1401" spans="8:11" ht="30" customHeight="1" x14ac:dyDescent="0.3">
      <c r="H1401" s="21"/>
      <c r="K1401" s="20"/>
    </row>
    <row r="1402" spans="8:11" ht="30" customHeight="1" x14ac:dyDescent="0.3">
      <c r="H1402" s="21"/>
      <c r="K1402" s="20"/>
    </row>
    <row r="1403" spans="8:11" ht="30" customHeight="1" x14ac:dyDescent="0.3">
      <c r="H1403" s="21"/>
      <c r="K1403" s="20"/>
    </row>
    <row r="1404" spans="8:11" ht="30" customHeight="1" x14ac:dyDescent="0.3">
      <c r="H1404" s="21"/>
      <c r="K1404" s="20"/>
    </row>
    <row r="1405" spans="8:11" ht="30" customHeight="1" x14ac:dyDescent="0.3">
      <c r="H1405" s="21"/>
      <c r="K1405" s="20"/>
    </row>
    <row r="1406" spans="8:11" ht="30" customHeight="1" x14ac:dyDescent="0.3">
      <c r="H1406" s="21"/>
      <c r="K1406" s="20"/>
    </row>
    <row r="1407" spans="8:11" ht="30" customHeight="1" x14ac:dyDescent="0.3">
      <c r="H1407" s="21"/>
      <c r="K1407" s="20"/>
    </row>
    <row r="1408" spans="8:11" ht="30" customHeight="1" x14ac:dyDescent="0.3">
      <c r="H1408" s="21"/>
      <c r="K1408" s="20"/>
    </row>
    <row r="1409" spans="8:11" ht="30" customHeight="1" x14ac:dyDescent="0.3">
      <c r="H1409" s="21"/>
      <c r="K1409" s="20"/>
    </row>
    <row r="1410" spans="8:11" ht="30" customHeight="1" x14ac:dyDescent="0.3">
      <c r="H1410" s="21"/>
      <c r="K1410" s="20"/>
    </row>
    <row r="1411" spans="8:11" ht="30" customHeight="1" x14ac:dyDescent="0.3">
      <c r="H1411" s="21"/>
      <c r="K1411" s="20"/>
    </row>
    <row r="1412" spans="8:11" ht="30" customHeight="1" x14ac:dyDescent="0.3">
      <c r="H1412" s="21"/>
      <c r="K1412" s="20"/>
    </row>
    <row r="1413" spans="8:11" ht="30" customHeight="1" x14ac:dyDescent="0.3">
      <c r="H1413" s="21"/>
      <c r="K1413" s="20"/>
    </row>
    <row r="1414" spans="8:11" ht="30" customHeight="1" x14ac:dyDescent="0.3">
      <c r="H1414" s="21"/>
      <c r="K1414" s="20"/>
    </row>
    <row r="1415" spans="8:11" ht="30" customHeight="1" x14ac:dyDescent="0.3">
      <c r="H1415" s="21"/>
      <c r="K1415" s="20"/>
    </row>
    <row r="1416" spans="8:11" ht="30" customHeight="1" x14ac:dyDescent="0.3">
      <c r="H1416" s="21"/>
      <c r="K1416" s="20"/>
    </row>
    <row r="1417" spans="8:11" ht="30" customHeight="1" x14ac:dyDescent="0.3">
      <c r="H1417" s="21"/>
      <c r="K1417" s="20"/>
    </row>
    <row r="1418" spans="8:11" ht="30" customHeight="1" x14ac:dyDescent="0.3">
      <c r="H1418" s="21"/>
      <c r="K1418" s="20"/>
    </row>
    <row r="1419" spans="8:11" ht="30" customHeight="1" x14ac:dyDescent="0.3">
      <c r="H1419" s="21"/>
      <c r="K1419" s="20"/>
    </row>
    <row r="1420" spans="8:11" ht="30" customHeight="1" x14ac:dyDescent="0.3">
      <c r="H1420" s="21"/>
      <c r="K1420" s="20"/>
    </row>
    <row r="1421" spans="8:11" ht="30" customHeight="1" x14ac:dyDescent="0.3">
      <c r="H1421" s="21"/>
      <c r="K1421" s="20"/>
    </row>
    <row r="1422" spans="8:11" ht="30" customHeight="1" x14ac:dyDescent="0.3">
      <c r="H1422" s="21"/>
      <c r="K1422" s="20"/>
    </row>
    <row r="1423" spans="8:11" ht="30" customHeight="1" x14ac:dyDescent="0.3">
      <c r="H1423" s="21"/>
      <c r="K1423" s="20"/>
    </row>
    <row r="1424" spans="8:11" ht="30" customHeight="1" x14ac:dyDescent="0.3">
      <c r="H1424" s="21"/>
      <c r="K1424" s="20"/>
    </row>
    <row r="1425" spans="8:11" ht="30" customHeight="1" x14ac:dyDescent="0.3">
      <c r="H1425" s="21"/>
      <c r="K1425" s="20"/>
    </row>
    <row r="1426" spans="8:11" ht="30" customHeight="1" x14ac:dyDescent="0.3">
      <c r="H1426" s="21"/>
      <c r="K1426" s="20"/>
    </row>
    <row r="1427" spans="8:11" ht="30" customHeight="1" x14ac:dyDescent="0.3">
      <c r="H1427" s="21"/>
      <c r="K1427" s="20"/>
    </row>
    <row r="1428" spans="8:11" ht="30" customHeight="1" x14ac:dyDescent="0.3">
      <c r="H1428" s="21"/>
      <c r="K1428" s="20"/>
    </row>
    <row r="1429" spans="8:11" ht="30" customHeight="1" x14ac:dyDescent="0.3">
      <c r="H1429" s="21"/>
      <c r="K1429" s="20"/>
    </row>
    <row r="1430" spans="8:11" ht="30" customHeight="1" x14ac:dyDescent="0.3">
      <c r="H1430" s="21"/>
      <c r="K1430" s="20"/>
    </row>
    <row r="1431" spans="8:11" ht="30" customHeight="1" x14ac:dyDescent="0.3">
      <c r="H1431" s="21"/>
      <c r="K1431" s="20"/>
    </row>
    <row r="1432" spans="8:11" ht="30" customHeight="1" x14ac:dyDescent="0.3">
      <c r="H1432" s="21"/>
      <c r="K1432" s="20"/>
    </row>
    <row r="1433" spans="8:11" ht="30" customHeight="1" x14ac:dyDescent="0.3">
      <c r="H1433" s="21"/>
      <c r="K1433" s="20"/>
    </row>
    <row r="1434" spans="8:11" ht="30" customHeight="1" x14ac:dyDescent="0.3">
      <c r="H1434" s="21"/>
      <c r="K1434" s="20"/>
    </row>
    <row r="1435" spans="8:11" ht="30" customHeight="1" x14ac:dyDescent="0.3">
      <c r="H1435" s="21"/>
      <c r="K1435" s="20"/>
    </row>
    <row r="1436" spans="8:11" ht="30" customHeight="1" x14ac:dyDescent="0.3">
      <c r="H1436" s="21"/>
      <c r="K1436" s="20"/>
    </row>
    <row r="1437" spans="8:11" ht="30" customHeight="1" x14ac:dyDescent="0.3">
      <c r="H1437" s="21"/>
      <c r="K1437" s="20"/>
    </row>
    <row r="1438" spans="8:11" ht="30" customHeight="1" x14ac:dyDescent="0.3">
      <c r="H1438" s="21"/>
      <c r="K1438" s="20"/>
    </row>
    <row r="1439" spans="8:11" ht="30" customHeight="1" x14ac:dyDescent="0.3">
      <c r="H1439" s="21"/>
      <c r="K1439" s="20"/>
    </row>
    <row r="1440" spans="8:11" ht="30" customHeight="1" x14ac:dyDescent="0.3">
      <c r="H1440" s="21"/>
      <c r="K1440" s="20"/>
    </row>
    <row r="1441" spans="8:11" ht="30" customHeight="1" x14ac:dyDescent="0.3">
      <c r="H1441" s="21"/>
      <c r="K1441" s="20"/>
    </row>
    <row r="1442" spans="8:11" ht="30" customHeight="1" x14ac:dyDescent="0.3">
      <c r="H1442" s="21"/>
      <c r="K1442" s="20"/>
    </row>
    <row r="1443" spans="8:11" ht="30" customHeight="1" x14ac:dyDescent="0.3">
      <c r="H1443" s="21"/>
      <c r="K1443" s="20"/>
    </row>
    <row r="1444" spans="8:11" ht="30" customHeight="1" x14ac:dyDescent="0.3">
      <c r="H1444" s="21"/>
      <c r="K1444" s="20"/>
    </row>
    <row r="1445" spans="8:11" ht="30" customHeight="1" x14ac:dyDescent="0.3">
      <c r="H1445" s="21"/>
      <c r="K1445" s="20"/>
    </row>
    <row r="1446" spans="8:11" ht="30" customHeight="1" x14ac:dyDescent="0.3">
      <c r="H1446" s="21"/>
      <c r="K1446" s="20"/>
    </row>
    <row r="1447" spans="8:11" ht="30" customHeight="1" x14ac:dyDescent="0.3">
      <c r="H1447" s="21"/>
      <c r="K1447" s="20"/>
    </row>
    <row r="1448" spans="8:11" ht="30" customHeight="1" x14ac:dyDescent="0.3">
      <c r="H1448" s="21"/>
      <c r="K1448" s="20"/>
    </row>
    <row r="1449" spans="8:11" ht="30" customHeight="1" x14ac:dyDescent="0.3">
      <c r="H1449" s="21"/>
      <c r="K1449" s="20"/>
    </row>
    <row r="1450" spans="8:11" ht="30" customHeight="1" x14ac:dyDescent="0.3">
      <c r="H1450" s="21"/>
      <c r="K1450" s="20"/>
    </row>
    <row r="1451" spans="8:11" ht="30" customHeight="1" x14ac:dyDescent="0.3">
      <c r="H1451" s="21"/>
      <c r="K1451" s="20"/>
    </row>
    <row r="1452" spans="8:11" ht="30" customHeight="1" x14ac:dyDescent="0.3">
      <c r="H1452" s="21"/>
      <c r="K1452" s="20"/>
    </row>
    <row r="1453" spans="8:11" ht="30" customHeight="1" x14ac:dyDescent="0.3">
      <c r="H1453" s="21"/>
      <c r="K1453" s="20"/>
    </row>
    <row r="1454" spans="8:11" ht="30" customHeight="1" x14ac:dyDescent="0.3">
      <c r="H1454" s="21"/>
      <c r="K1454" s="20"/>
    </row>
    <row r="1455" spans="8:11" ht="30" customHeight="1" x14ac:dyDescent="0.3">
      <c r="H1455" s="21"/>
      <c r="K1455" s="20"/>
    </row>
    <row r="1456" spans="8:11" ht="30" customHeight="1" x14ac:dyDescent="0.3">
      <c r="H1456" s="21"/>
      <c r="K1456" s="20"/>
    </row>
    <row r="1457" spans="8:11" ht="30" customHeight="1" x14ac:dyDescent="0.3">
      <c r="H1457" s="21"/>
      <c r="K1457" s="20"/>
    </row>
    <row r="1458" spans="8:11" ht="30" customHeight="1" x14ac:dyDescent="0.3">
      <c r="H1458" s="21"/>
      <c r="K1458" s="20"/>
    </row>
    <row r="1459" spans="8:11" ht="30" customHeight="1" x14ac:dyDescent="0.3">
      <c r="H1459" s="21"/>
      <c r="K1459" s="20"/>
    </row>
    <row r="1460" spans="8:11" ht="30" customHeight="1" x14ac:dyDescent="0.3">
      <c r="H1460" s="21"/>
      <c r="K1460" s="20"/>
    </row>
    <row r="1461" spans="8:11" ht="30" customHeight="1" x14ac:dyDescent="0.3">
      <c r="H1461" s="21"/>
      <c r="K1461" s="20"/>
    </row>
    <row r="1462" spans="8:11" ht="30" customHeight="1" x14ac:dyDescent="0.3">
      <c r="H1462" s="21"/>
      <c r="K1462" s="20"/>
    </row>
    <row r="1463" spans="8:11" ht="30" customHeight="1" x14ac:dyDescent="0.3">
      <c r="H1463" s="21"/>
      <c r="K1463" s="20"/>
    </row>
    <row r="1464" spans="8:11" ht="30" customHeight="1" x14ac:dyDescent="0.3">
      <c r="H1464" s="21"/>
      <c r="K1464" s="20"/>
    </row>
    <row r="1465" spans="8:11" ht="30" customHeight="1" x14ac:dyDescent="0.3">
      <c r="H1465" s="21"/>
      <c r="K1465" s="20"/>
    </row>
    <row r="1466" spans="8:11" ht="30" customHeight="1" x14ac:dyDescent="0.3">
      <c r="H1466" s="21"/>
      <c r="K1466" s="20"/>
    </row>
    <row r="1467" spans="8:11" ht="30" customHeight="1" x14ac:dyDescent="0.3">
      <c r="H1467" s="21"/>
      <c r="K1467" s="20"/>
    </row>
    <row r="1468" spans="8:11" ht="30" customHeight="1" x14ac:dyDescent="0.3">
      <c r="H1468" s="21"/>
      <c r="K1468" s="20"/>
    </row>
    <row r="1469" spans="8:11" ht="30" customHeight="1" x14ac:dyDescent="0.3">
      <c r="H1469" s="21"/>
      <c r="K1469" s="20"/>
    </row>
    <row r="1470" spans="8:11" ht="30" customHeight="1" x14ac:dyDescent="0.3">
      <c r="H1470" s="21"/>
      <c r="K1470" s="20"/>
    </row>
    <row r="1471" spans="8:11" ht="30" customHeight="1" x14ac:dyDescent="0.3">
      <c r="H1471" s="21"/>
      <c r="K1471" s="20"/>
    </row>
    <row r="1472" spans="8:11" ht="30" customHeight="1" x14ac:dyDescent="0.3">
      <c r="H1472" s="21"/>
      <c r="K1472" s="20"/>
    </row>
    <row r="1473" spans="8:11" ht="30" customHeight="1" x14ac:dyDescent="0.3">
      <c r="H1473" s="21"/>
      <c r="K1473" s="20"/>
    </row>
    <row r="1474" spans="8:11" ht="30" customHeight="1" x14ac:dyDescent="0.3">
      <c r="H1474" s="21"/>
      <c r="K1474" s="20"/>
    </row>
    <row r="1475" spans="8:11" ht="30" customHeight="1" x14ac:dyDescent="0.3">
      <c r="H1475" s="21"/>
      <c r="K1475" s="20"/>
    </row>
    <row r="1476" spans="8:11" ht="30" customHeight="1" x14ac:dyDescent="0.3">
      <c r="H1476" s="21"/>
      <c r="K1476" s="20"/>
    </row>
    <row r="1477" spans="8:11" ht="30" customHeight="1" x14ac:dyDescent="0.3">
      <c r="H1477" s="21"/>
      <c r="K1477" s="20"/>
    </row>
    <row r="1478" spans="8:11" ht="30" customHeight="1" x14ac:dyDescent="0.3">
      <c r="H1478" s="21"/>
      <c r="K1478" s="20"/>
    </row>
    <row r="1479" spans="8:11" ht="30" customHeight="1" x14ac:dyDescent="0.3">
      <c r="H1479" s="21"/>
      <c r="K1479" s="20"/>
    </row>
    <row r="1480" spans="8:11" ht="30" customHeight="1" x14ac:dyDescent="0.3">
      <c r="H1480" s="21"/>
      <c r="K1480" s="20"/>
    </row>
    <row r="1481" spans="8:11" ht="30" customHeight="1" x14ac:dyDescent="0.3">
      <c r="H1481" s="21"/>
      <c r="K1481" s="20"/>
    </row>
    <row r="1482" spans="8:11" ht="30" customHeight="1" x14ac:dyDescent="0.3">
      <c r="H1482" s="21"/>
      <c r="K1482" s="20"/>
    </row>
    <row r="1483" spans="8:11" ht="30" customHeight="1" x14ac:dyDescent="0.3">
      <c r="H1483" s="21"/>
      <c r="K1483" s="20"/>
    </row>
    <row r="1484" spans="8:11" ht="30" customHeight="1" x14ac:dyDescent="0.3">
      <c r="H1484" s="21"/>
      <c r="K1484" s="20"/>
    </row>
    <row r="1485" spans="8:11" ht="30" customHeight="1" x14ac:dyDescent="0.3">
      <c r="H1485" s="21"/>
      <c r="K1485" s="20"/>
    </row>
    <row r="1486" spans="8:11" ht="30" customHeight="1" x14ac:dyDescent="0.3">
      <c r="H1486" s="21"/>
      <c r="K1486" s="20"/>
    </row>
    <row r="1487" spans="8:11" ht="30" customHeight="1" x14ac:dyDescent="0.3">
      <c r="H1487" s="21"/>
      <c r="K1487" s="20"/>
    </row>
    <row r="1488" spans="8:11" ht="30" customHeight="1" x14ac:dyDescent="0.3">
      <c r="H1488" s="21"/>
      <c r="K1488" s="20"/>
    </row>
    <row r="1489" spans="8:11" ht="30" customHeight="1" x14ac:dyDescent="0.3">
      <c r="H1489" s="21"/>
      <c r="K1489" s="20"/>
    </row>
    <row r="1490" spans="8:11" ht="30" customHeight="1" x14ac:dyDescent="0.3">
      <c r="H1490" s="21"/>
      <c r="K1490" s="20"/>
    </row>
    <row r="1491" spans="8:11" ht="30" customHeight="1" x14ac:dyDescent="0.3">
      <c r="H1491" s="21"/>
      <c r="K1491" s="20"/>
    </row>
    <row r="1492" spans="8:11" ht="30" customHeight="1" x14ac:dyDescent="0.3">
      <c r="H1492" s="21"/>
      <c r="K1492" s="20"/>
    </row>
    <row r="1493" spans="8:11" ht="30" customHeight="1" x14ac:dyDescent="0.3">
      <c r="H1493" s="21"/>
      <c r="K1493" s="20"/>
    </row>
    <row r="1494" spans="8:11" ht="30" customHeight="1" x14ac:dyDescent="0.3">
      <c r="H1494" s="21"/>
      <c r="K1494" s="20"/>
    </row>
    <row r="1495" spans="8:11" ht="30" customHeight="1" x14ac:dyDescent="0.3">
      <c r="H1495" s="21"/>
      <c r="K1495" s="20"/>
    </row>
    <row r="1496" spans="8:11" ht="30" customHeight="1" x14ac:dyDescent="0.3">
      <c r="H1496" s="21"/>
      <c r="K1496" s="20"/>
    </row>
    <row r="1497" spans="8:11" ht="30" customHeight="1" x14ac:dyDescent="0.3">
      <c r="H1497" s="21"/>
      <c r="K1497" s="20"/>
    </row>
    <row r="1498" spans="8:11" ht="30" customHeight="1" x14ac:dyDescent="0.3">
      <c r="H1498" s="21"/>
      <c r="K1498" s="20"/>
    </row>
    <row r="1499" spans="8:11" ht="30" customHeight="1" x14ac:dyDescent="0.3">
      <c r="H1499" s="21"/>
      <c r="K1499" s="20"/>
    </row>
    <row r="1500" spans="8:11" ht="30" customHeight="1" x14ac:dyDescent="0.3">
      <c r="H1500" s="21"/>
      <c r="K1500" s="20"/>
    </row>
    <row r="1501" spans="8:11" ht="30" customHeight="1" x14ac:dyDescent="0.3">
      <c r="H1501" s="21"/>
      <c r="K1501" s="20"/>
    </row>
    <row r="1502" spans="8:11" ht="30" customHeight="1" x14ac:dyDescent="0.3">
      <c r="H1502" s="21"/>
      <c r="K1502" s="20"/>
    </row>
    <row r="1503" spans="8:11" ht="30" customHeight="1" x14ac:dyDescent="0.3">
      <c r="H1503" s="21"/>
      <c r="K1503" s="20"/>
    </row>
    <row r="1504" spans="8:11" ht="30" customHeight="1" x14ac:dyDescent="0.3">
      <c r="H1504" s="21"/>
      <c r="K1504" s="20"/>
    </row>
    <row r="1505" spans="8:11" ht="30" customHeight="1" x14ac:dyDescent="0.3">
      <c r="H1505" s="21"/>
      <c r="K1505" s="20"/>
    </row>
    <row r="1506" spans="8:11" ht="30" customHeight="1" x14ac:dyDescent="0.3">
      <c r="H1506" s="21"/>
      <c r="K1506" s="20"/>
    </row>
    <row r="1507" spans="8:11" ht="30" customHeight="1" x14ac:dyDescent="0.3">
      <c r="H1507" s="21"/>
      <c r="K1507" s="20"/>
    </row>
    <row r="1508" spans="8:11" ht="30" customHeight="1" x14ac:dyDescent="0.3">
      <c r="H1508" s="21"/>
      <c r="K1508" s="20"/>
    </row>
    <row r="1509" spans="8:11" ht="30" customHeight="1" x14ac:dyDescent="0.3">
      <c r="H1509" s="21"/>
      <c r="K1509" s="20"/>
    </row>
    <row r="1510" spans="8:11" ht="30" customHeight="1" x14ac:dyDescent="0.3">
      <c r="H1510" s="21"/>
      <c r="K1510" s="20"/>
    </row>
    <row r="1511" spans="8:11" ht="30" customHeight="1" x14ac:dyDescent="0.3">
      <c r="H1511" s="21"/>
      <c r="K1511" s="20"/>
    </row>
    <row r="1512" spans="8:11" ht="30" customHeight="1" x14ac:dyDescent="0.3">
      <c r="H1512" s="21"/>
      <c r="K1512" s="20"/>
    </row>
    <row r="1513" spans="8:11" ht="30" customHeight="1" x14ac:dyDescent="0.3">
      <c r="H1513" s="21"/>
      <c r="K1513" s="20"/>
    </row>
    <row r="1514" spans="8:11" ht="30" customHeight="1" x14ac:dyDescent="0.3">
      <c r="H1514" s="21"/>
      <c r="K1514" s="20"/>
    </row>
    <row r="1515" spans="8:11" ht="30" customHeight="1" x14ac:dyDescent="0.3">
      <c r="H1515" s="21"/>
      <c r="K1515" s="20"/>
    </row>
    <row r="1516" spans="8:11" ht="30" customHeight="1" x14ac:dyDescent="0.3">
      <c r="H1516" s="21"/>
      <c r="K1516" s="20"/>
    </row>
    <row r="1517" spans="8:11" ht="30" customHeight="1" x14ac:dyDescent="0.3">
      <c r="H1517" s="21"/>
      <c r="K1517" s="20"/>
    </row>
    <row r="1518" spans="8:11" ht="30" customHeight="1" x14ac:dyDescent="0.3">
      <c r="H1518" s="21"/>
      <c r="K1518" s="20"/>
    </row>
    <row r="1519" spans="8:11" ht="30" customHeight="1" x14ac:dyDescent="0.3">
      <c r="H1519" s="21"/>
      <c r="K1519" s="20"/>
    </row>
    <row r="1520" spans="8:11" ht="30" customHeight="1" x14ac:dyDescent="0.3">
      <c r="H1520" s="21"/>
      <c r="K1520" s="20"/>
    </row>
    <row r="1521" spans="8:11" ht="30" customHeight="1" x14ac:dyDescent="0.3">
      <c r="H1521" s="21"/>
      <c r="K1521" s="20"/>
    </row>
    <row r="1522" spans="8:11" ht="30" customHeight="1" x14ac:dyDescent="0.3">
      <c r="H1522" s="21"/>
      <c r="K1522" s="20"/>
    </row>
    <row r="1523" spans="8:11" ht="30" customHeight="1" x14ac:dyDescent="0.3">
      <c r="H1523" s="21"/>
      <c r="K1523" s="20"/>
    </row>
    <row r="1524" spans="8:11" ht="30" customHeight="1" x14ac:dyDescent="0.3">
      <c r="H1524" s="21"/>
      <c r="K1524" s="20"/>
    </row>
    <row r="1525" spans="8:11" ht="30" customHeight="1" x14ac:dyDescent="0.3">
      <c r="H1525" s="21"/>
      <c r="K1525" s="20"/>
    </row>
    <row r="1526" spans="8:11" ht="30" customHeight="1" x14ac:dyDescent="0.3">
      <c r="H1526" s="21"/>
      <c r="K1526" s="20"/>
    </row>
    <row r="1527" spans="8:11" ht="30" customHeight="1" x14ac:dyDescent="0.3">
      <c r="H1527" s="21"/>
      <c r="K1527" s="20"/>
    </row>
    <row r="1528" spans="8:11" ht="30" customHeight="1" x14ac:dyDescent="0.3">
      <c r="H1528" s="21"/>
      <c r="K1528" s="20"/>
    </row>
    <row r="1529" spans="8:11" ht="30" customHeight="1" x14ac:dyDescent="0.3">
      <c r="H1529" s="21"/>
      <c r="K1529" s="20"/>
    </row>
    <row r="1530" spans="8:11" ht="30" customHeight="1" x14ac:dyDescent="0.3">
      <c r="H1530" s="21"/>
      <c r="K1530" s="20"/>
    </row>
    <row r="1531" spans="8:11" ht="30" customHeight="1" x14ac:dyDescent="0.3">
      <c r="H1531" s="21"/>
      <c r="K1531" s="20"/>
    </row>
    <row r="1532" spans="8:11" ht="30" customHeight="1" x14ac:dyDescent="0.3">
      <c r="H1532" s="21"/>
      <c r="K1532" s="20"/>
    </row>
    <row r="1533" spans="8:11" ht="30" customHeight="1" x14ac:dyDescent="0.3">
      <c r="H1533" s="21"/>
      <c r="K1533" s="20"/>
    </row>
    <row r="1534" spans="8:11" ht="30" customHeight="1" x14ac:dyDescent="0.3">
      <c r="H1534" s="21"/>
      <c r="K1534" s="20"/>
    </row>
    <row r="1535" spans="8:11" ht="30" customHeight="1" x14ac:dyDescent="0.3">
      <c r="H1535" s="21"/>
      <c r="K1535" s="20"/>
    </row>
    <row r="1536" spans="8:11" ht="30" customHeight="1" x14ac:dyDescent="0.3">
      <c r="H1536" s="21"/>
      <c r="K1536" s="20"/>
    </row>
    <row r="1537" spans="8:11" ht="30" customHeight="1" x14ac:dyDescent="0.3">
      <c r="H1537" s="21"/>
      <c r="K1537" s="20"/>
    </row>
    <row r="1538" spans="8:11" ht="30" customHeight="1" x14ac:dyDescent="0.3">
      <c r="H1538" s="21"/>
      <c r="K1538" s="20"/>
    </row>
    <row r="1539" spans="8:11" ht="30" customHeight="1" x14ac:dyDescent="0.3">
      <c r="H1539" s="21"/>
      <c r="K1539" s="20"/>
    </row>
    <row r="1540" spans="8:11" ht="30" customHeight="1" x14ac:dyDescent="0.3">
      <c r="H1540" s="21"/>
      <c r="K1540" s="20"/>
    </row>
    <row r="1541" spans="8:11" ht="30" customHeight="1" x14ac:dyDescent="0.3">
      <c r="H1541" s="21"/>
      <c r="K1541" s="20"/>
    </row>
    <row r="1542" spans="8:11" ht="30" customHeight="1" x14ac:dyDescent="0.3">
      <c r="H1542" s="21"/>
      <c r="K1542" s="20"/>
    </row>
    <row r="1543" spans="8:11" ht="30" customHeight="1" x14ac:dyDescent="0.3">
      <c r="H1543" s="21"/>
      <c r="K1543" s="20"/>
    </row>
    <row r="1544" spans="8:11" ht="30" customHeight="1" x14ac:dyDescent="0.3">
      <c r="H1544" s="21"/>
      <c r="K1544" s="20"/>
    </row>
    <row r="1545" spans="8:11" ht="30" customHeight="1" x14ac:dyDescent="0.3">
      <c r="H1545" s="21"/>
      <c r="K1545" s="20"/>
    </row>
    <row r="1546" spans="8:11" ht="30" customHeight="1" x14ac:dyDescent="0.3">
      <c r="H1546" s="21"/>
      <c r="K1546" s="20"/>
    </row>
    <row r="1547" spans="8:11" ht="30" customHeight="1" x14ac:dyDescent="0.3">
      <c r="H1547" s="21"/>
      <c r="K1547" s="20"/>
    </row>
    <row r="1548" spans="8:11" ht="30" customHeight="1" x14ac:dyDescent="0.3">
      <c r="H1548" s="21"/>
      <c r="K1548" s="20"/>
    </row>
    <row r="1549" spans="8:11" ht="30" customHeight="1" x14ac:dyDescent="0.3">
      <c r="H1549" s="21"/>
      <c r="K1549" s="20"/>
    </row>
    <row r="1550" spans="8:11" ht="30" customHeight="1" x14ac:dyDescent="0.3">
      <c r="H1550" s="21"/>
      <c r="K1550" s="20"/>
    </row>
    <row r="1551" spans="8:11" ht="30" customHeight="1" x14ac:dyDescent="0.3">
      <c r="H1551" s="21"/>
      <c r="K1551" s="20"/>
    </row>
    <row r="1552" spans="8:11" ht="30" customHeight="1" x14ac:dyDescent="0.3">
      <c r="H1552" s="21"/>
      <c r="K1552" s="20"/>
    </row>
    <row r="1553" spans="8:11" ht="30" customHeight="1" x14ac:dyDescent="0.3">
      <c r="H1553" s="21"/>
      <c r="K1553" s="20"/>
    </row>
    <row r="1554" spans="8:11" ht="30" customHeight="1" x14ac:dyDescent="0.3">
      <c r="H1554" s="21"/>
      <c r="K1554" s="20"/>
    </row>
    <row r="1555" spans="8:11" ht="30" customHeight="1" x14ac:dyDescent="0.3">
      <c r="H1555" s="21"/>
      <c r="K1555" s="20"/>
    </row>
    <row r="1556" spans="8:11" ht="30" customHeight="1" x14ac:dyDescent="0.3">
      <c r="H1556" s="21"/>
      <c r="K1556" s="20"/>
    </row>
    <row r="1557" spans="8:11" ht="30" customHeight="1" x14ac:dyDescent="0.3">
      <c r="H1557" s="21"/>
      <c r="K1557" s="20"/>
    </row>
    <row r="1558" spans="8:11" ht="30" customHeight="1" x14ac:dyDescent="0.3">
      <c r="H1558" s="21"/>
      <c r="K1558" s="20"/>
    </row>
    <row r="1559" spans="8:11" ht="30" customHeight="1" x14ac:dyDescent="0.3">
      <c r="H1559" s="21"/>
      <c r="K1559" s="20"/>
    </row>
    <row r="1560" spans="8:11" ht="30" customHeight="1" x14ac:dyDescent="0.3">
      <c r="H1560" s="21"/>
      <c r="K1560" s="20"/>
    </row>
    <row r="1561" spans="8:11" ht="30" customHeight="1" x14ac:dyDescent="0.3">
      <c r="H1561" s="21"/>
      <c r="K1561" s="20"/>
    </row>
    <row r="1562" spans="8:11" ht="30" customHeight="1" x14ac:dyDescent="0.3">
      <c r="H1562" s="21"/>
      <c r="K1562" s="20"/>
    </row>
    <row r="1563" spans="8:11" ht="30" customHeight="1" x14ac:dyDescent="0.3">
      <c r="H1563" s="21"/>
      <c r="K1563" s="20"/>
    </row>
    <row r="1564" spans="8:11" ht="30" customHeight="1" x14ac:dyDescent="0.3">
      <c r="H1564" s="21"/>
      <c r="K1564" s="20"/>
    </row>
    <row r="1565" spans="8:11" ht="30" customHeight="1" x14ac:dyDescent="0.3">
      <c r="H1565" s="21"/>
      <c r="K1565" s="20"/>
    </row>
    <row r="1566" spans="8:11" ht="30" customHeight="1" x14ac:dyDescent="0.3">
      <c r="H1566" s="21"/>
      <c r="K1566" s="20"/>
    </row>
    <row r="1567" spans="8:11" ht="30" customHeight="1" x14ac:dyDescent="0.3">
      <c r="H1567" s="21"/>
      <c r="K1567" s="20"/>
    </row>
    <row r="1568" spans="8:11" ht="30" customHeight="1" x14ac:dyDescent="0.3">
      <c r="H1568" s="21"/>
      <c r="K1568" s="20"/>
    </row>
    <row r="1569" spans="8:11" ht="30" customHeight="1" x14ac:dyDescent="0.3">
      <c r="H1569" s="21"/>
      <c r="K1569" s="20"/>
    </row>
    <row r="1570" spans="8:11" ht="30" customHeight="1" x14ac:dyDescent="0.3">
      <c r="H1570" s="21"/>
      <c r="K1570" s="20"/>
    </row>
    <row r="1571" spans="8:11" ht="30" customHeight="1" x14ac:dyDescent="0.3">
      <c r="H1571" s="21"/>
      <c r="K1571" s="20"/>
    </row>
    <row r="1572" spans="8:11" ht="30" customHeight="1" x14ac:dyDescent="0.3">
      <c r="H1572" s="21"/>
      <c r="K1572" s="20"/>
    </row>
    <row r="1573" spans="8:11" ht="30" customHeight="1" x14ac:dyDescent="0.3">
      <c r="H1573" s="21"/>
      <c r="K1573" s="20"/>
    </row>
    <row r="1574" spans="8:11" ht="30" customHeight="1" x14ac:dyDescent="0.3">
      <c r="H1574" s="21"/>
      <c r="K1574" s="20"/>
    </row>
    <row r="1575" spans="8:11" ht="30" customHeight="1" x14ac:dyDescent="0.3">
      <c r="H1575" s="21"/>
      <c r="K1575" s="20"/>
    </row>
    <row r="1576" spans="8:11" ht="30" customHeight="1" x14ac:dyDescent="0.3">
      <c r="H1576" s="21"/>
      <c r="K1576" s="20"/>
    </row>
    <row r="1577" spans="8:11" ht="30" customHeight="1" x14ac:dyDescent="0.3">
      <c r="H1577" s="21"/>
      <c r="K1577" s="20"/>
    </row>
    <row r="1578" spans="8:11" ht="30" customHeight="1" x14ac:dyDescent="0.3">
      <c r="H1578" s="21"/>
      <c r="K1578" s="20"/>
    </row>
    <row r="1579" spans="8:11" ht="30" customHeight="1" x14ac:dyDescent="0.3">
      <c r="H1579" s="21"/>
      <c r="K1579" s="20"/>
    </row>
    <row r="1580" spans="8:11" ht="30" customHeight="1" x14ac:dyDescent="0.3">
      <c r="H1580" s="21"/>
      <c r="K1580" s="20"/>
    </row>
    <row r="1581" spans="8:11" ht="30" customHeight="1" x14ac:dyDescent="0.3">
      <c r="H1581" s="21"/>
      <c r="K1581" s="20"/>
    </row>
    <row r="1582" spans="8:11" ht="30" customHeight="1" x14ac:dyDescent="0.3">
      <c r="H1582" s="21"/>
      <c r="K1582" s="20"/>
    </row>
    <row r="1583" spans="8:11" ht="30" customHeight="1" x14ac:dyDescent="0.3">
      <c r="H1583" s="21"/>
      <c r="K1583" s="20"/>
    </row>
    <row r="1584" spans="8:11" ht="30" customHeight="1" x14ac:dyDescent="0.3">
      <c r="H1584" s="21"/>
      <c r="K1584" s="20"/>
    </row>
    <row r="1585" spans="8:11" ht="30" customHeight="1" x14ac:dyDescent="0.3">
      <c r="H1585" s="21"/>
      <c r="K1585" s="20"/>
    </row>
    <row r="1586" spans="8:11" ht="30" customHeight="1" x14ac:dyDescent="0.3">
      <c r="H1586" s="21"/>
      <c r="K1586" s="20"/>
    </row>
    <row r="1587" spans="8:11" ht="30" customHeight="1" x14ac:dyDescent="0.3">
      <c r="H1587" s="21"/>
      <c r="K1587" s="20"/>
    </row>
    <row r="1588" spans="8:11" ht="30" customHeight="1" x14ac:dyDescent="0.3">
      <c r="H1588" s="21"/>
      <c r="K1588" s="20"/>
    </row>
    <row r="1589" spans="8:11" ht="30" customHeight="1" x14ac:dyDescent="0.3">
      <c r="H1589" s="21"/>
      <c r="K1589" s="20"/>
    </row>
    <row r="1590" spans="8:11" ht="30" customHeight="1" x14ac:dyDescent="0.3">
      <c r="H1590" s="21"/>
      <c r="K1590" s="20"/>
    </row>
    <row r="1591" spans="8:11" ht="30" customHeight="1" x14ac:dyDescent="0.3">
      <c r="H1591" s="21"/>
      <c r="K1591" s="20"/>
    </row>
    <row r="1592" spans="8:11" ht="30" customHeight="1" x14ac:dyDescent="0.3">
      <c r="H1592" s="21"/>
      <c r="K1592" s="20"/>
    </row>
    <row r="1593" spans="8:11" ht="30" customHeight="1" x14ac:dyDescent="0.3">
      <c r="H1593" s="21"/>
      <c r="K1593" s="20"/>
    </row>
    <row r="1594" spans="8:11" ht="30" customHeight="1" x14ac:dyDescent="0.3">
      <c r="H1594" s="21"/>
      <c r="K1594" s="20"/>
    </row>
    <row r="1595" spans="8:11" ht="30" customHeight="1" x14ac:dyDescent="0.3">
      <c r="H1595" s="21"/>
      <c r="K1595" s="20"/>
    </row>
    <row r="1596" spans="8:11" ht="30" customHeight="1" x14ac:dyDescent="0.3">
      <c r="H1596" s="21"/>
      <c r="K1596" s="20"/>
    </row>
    <row r="1597" spans="8:11" ht="30" customHeight="1" x14ac:dyDescent="0.3">
      <c r="H1597" s="21"/>
      <c r="K1597" s="20"/>
    </row>
    <row r="1598" spans="8:11" ht="30" customHeight="1" x14ac:dyDescent="0.3">
      <c r="H1598" s="21"/>
      <c r="K1598" s="20"/>
    </row>
    <row r="1599" spans="8:11" ht="30" customHeight="1" x14ac:dyDescent="0.3">
      <c r="H1599" s="21"/>
      <c r="K1599" s="20"/>
    </row>
    <row r="1600" spans="8:11" ht="30" customHeight="1" x14ac:dyDescent="0.3">
      <c r="H1600" s="21"/>
      <c r="K1600" s="20"/>
    </row>
    <row r="1601" spans="8:11" ht="30" customHeight="1" x14ac:dyDescent="0.3">
      <c r="H1601" s="21"/>
      <c r="K1601" s="20"/>
    </row>
    <row r="1602" spans="8:11" ht="30" customHeight="1" x14ac:dyDescent="0.3">
      <c r="H1602" s="21"/>
      <c r="K1602" s="20"/>
    </row>
    <row r="1603" spans="8:11" ht="30" customHeight="1" x14ac:dyDescent="0.3">
      <c r="H1603" s="21"/>
      <c r="K1603" s="20"/>
    </row>
    <row r="1604" spans="8:11" ht="30" customHeight="1" x14ac:dyDescent="0.3">
      <c r="H1604" s="21"/>
      <c r="K1604" s="20"/>
    </row>
    <row r="1605" spans="8:11" ht="30" customHeight="1" x14ac:dyDescent="0.3">
      <c r="H1605" s="21"/>
      <c r="K1605" s="20"/>
    </row>
    <row r="1606" spans="8:11" ht="30" customHeight="1" x14ac:dyDescent="0.3">
      <c r="H1606" s="21"/>
      <c r="K1606" s="20"/>
    </row>
    <row r="1607" spans="8:11" ht="30" customHeight="1" x14ac:dyDescent="0.3">
      <c r="H1607" s="21"/>
      <c r="K1607" s="20"/>
    </row>
    <row r="1608" spans="8:11" ht="30" customHeight="1" x14ac:dyDescent="0.3">
      <c r="H1608" s="21"/>
      <c r="K1608" s="20"/>
    </row>
    <row r="1609" spans="8:11" ht="30" customHeight="1" x14ac:dyDescent="0.3">
      <c r="H1609" s="21"/>
      <c r="K1609" s="20"/>
    </row>
    <row r="1610" spans="8:11" ht="30" customHeight="1" x14ac:dyDescent="0.3">
      <c r="H1610" s="21"/>
      <c r="K1610" s="20"/>
    </row>
    <row r="1611" spans="8:11" ht="30" customHeight="1" x14ac:dyDescent="0.3">
      <c r="H1611" s="21"/>
      <c r="K1611" s="20"/>
    </row>
    <row r="1612" spans="8:11" ht="30" customHeight="1" x14ac:dyDescent="0.3">
      <c r="H1612" s="21"/>
      <c r="K1612" s="20"/>
    </row>
    <row r="1613" spans="8:11" ht="30" customHeight="1" x14ac:dyDescent="0.3">
      <c r="H1613" s="21"/>
      <c r="K1613" s="20"/>
    </row>
    <row r="1614" spans="8:11" ht="30" customHeight="1" x14ac:dyDescent="0.3">
      <c r="H1614" s="21"/>
      <c r="K1614" s="20"/>
    </row>
    <row r="1615" spans="8:11" ht="30" customHeight="1" x14ac:dyDescent="0.3">
      <c r="H1615" s="21"/>
      <c r="K1615" s="20"/>
    </row>
    <row r="1616" spans="8:11" ht="30" customHeight="1" x14ac:dyDescent="0.3">
      <c r="H1616" s="21"/>
      <c r="K1616" s="20"/>
    </row>
    <row r="1617" spans="8:11" ht="30" customHeight="1" x14ac:dyDescent="0.3">
      <c r="H1617" s="21"/>
      <c r="K1617" s="20"/>
    </row>
    <row r="1618" spans="8:11" ht="30" customHeight="1" x14ac:dyDescent="0.3">
      <c r="H1618" s="21"/>
      <c r="K1618" s="20"/>
    </row>
    <row r="1619" spans="8:11" ht="30" customHeight="1" x14ac:dyDescent="0.3">
      <c r="H1619" s="21"/>
      <c r="K1619" s="20"/>
    </row>
    <row r="1620" spans="8:11" ht="30" customHeight="1" x14ac:dyDescent="0.3">
      <c r="H1620" s="21"/>
      <c r="K1620" s="20"/>
    </row>
    <row r="1621" spans="8:11" ht="30" customHeight="1" x14ac:dyDescent="0.3">
      <c r="H1621" s="21"/>
      <c r="K1621" s="20"/>
    </row>
    <row r="1622" spans="8:11" ht="30" customHeight="1" x14ac:dyDescent="0.3">
      <c r="H1622" s="21"/>
      <c r="K1622" s="20"/>
    </row>
    <row r="1623" spans="8:11" ht="30" customHeight="1" x14ac:dyDescent="0.3">
      <c r="H1623" s="21"/>
      <c r="K1623" s="20"/>
    </row>
    <row r="1624" spans="8:11" ht="30" customHeight="1" x14ac:dyDescent="0.3">
      <c r="H1624" s="21"/>
      <c r="K1624" s="20"/>
    </row>
    <row r="1625" spans="8:11" ht="30" customHeight="1" x14ac:dyDescent="0.3">
      <c r="H1625" s="21"/>
      <c r="K1625" s="20"/>
    </row>
    <row r="1626" spans="8:11" ht="30" customHeight="1" x14ac:dyDescent="0.3">
      <c r="H1626" s="21"/>
      <c r="K1626" s="20"/>
    </row>
    <row r="1627" spans="8:11" ht="30" customHeight="1" x14ac:dyDescent="0.3">
      <c r="H1627" s="21"/>
      <c r="K1627" s="20"/>
    </row>
    <row r="1628" spans="8:11" ht="30" customHeight="1" x14ac:dyDescent="0.3">
      <c r="H1628" s="21"/>
      <c r="K1628" s="20"/>
    </row>
    <row r="1629" spans="8:11" ht="30" customHeight="1" x14ac:dyDescent="0.3">
      <c r="H1629" s="21"/>
      <c r="K1629" s="20"/>
    </row>
    <row r="1630" spans="8:11" ht="30" customHeight="1" x14ac:dyDescent="0.3">
      <c r="H1630" s="21"/>
      <c r="K1630" s="20"/>
    </row>
    <row r="1631" spans="8:11" ht="30" customHeight="1" x14ac:dyDescent="0.3">
      <c r="H1631" s="21"/>
      <c r="K1631" s="20"/>
    </row>
    <row r="1632" spans="8:11" ht="30" customHeight="1" x14ac:dyDescent="0.3">
      <c r="H1632" s="21"/>
      <c r="K1632" s="20"/>
    </row>
    <row r="1633" spans="8:11" ht="30" customHeight="1" x14ac:dyDescent="0.3">
      <c r="H1633" s="21"/>
      <c r="K1633" s="20"/>
    </row>
    <row r="1634" spans="8:11" ht="30" customHeight="1" x14ac:dyDescent="0.3">
      <c r="H1634" s="21"/>
      <c r="K1634" s="20"/>
    </row>
    <row r="1635" spans="8:11" ht="30" customHeight="1" x14ac:dyDescent="0.3">
      <c r="H1635" s="21"/>
      <c r="K1635" s="20"/>
    </row>
    <row r="1636" spans="8:11" ht="30" customHeight="1" x14ac:dyDescent="0.3">
      <c r="H1636" s="21"/>
      <c r="K1636" s="20"/>
    </row>
    <row r="1637" spans="8:11" ht="30" customHeight="1" x14ac:dyDescent="0.3">
      <c r="H1637" s="21"/>
      <c r="K1637" s="20"/>
    </row>
    <row r="1638" spans="8:11" ht="30" customHeight="1" x14ac:dyDescent="0.3">
      <c r="H1638" s="21"/>
      <c r="K1638" s="20"/>
    </row>
    <row r="1639" spans="8:11" ht="30" customHeight="1" x14ac:dyDescent="0.3">
      <c r="H1639" s="21"/>
      <c r="K1639" s="20"/>
    </row>
    <row r="1640" spans="8:11" ht="30" customHeight="1" x14ac:dyDescent="0.3">
      <c r="H1640" s="21"/>
      <c r="K1640" s="20"/>
    </row>
    <row r="1641" spans="8:11" ht="30" customHeight="1" x14ac:dyDescent="0.3">
      <c r="H1641" s="21"/>
      <c r="K1641" s="20"/>
    </row>
    <row r="1642" spans="8:11" ht="30" customHeight="1" x14ac:dyDescent="0.3">
      <c r="H1642" s="21"/>
      <c r="K1642" s="20"/>
    </row>
    <row r="1643" spans="8:11" ht="30" customHeight="1" x14ac:dyDescent="0.3">
      <c r="H1643" s="21"/>
      <c r="K1643" s="20"/>
    </row>
    <row r="1644" spans="8:11" ht="30" customHeight="1" x14ac:dyDescent="0.3">
      <c r="H1644" s="21"/>
      <c r="K1644" s="20"/>
    </row>
    <row r="1645" spans="8:11" ht="30" customHeight="1" x14ac:dyDescent="0.3">
      <c r="H1645" s="21"/>
      <c r="K1645" s="20"/>
    </row>
    <row r="1646" spans="8:11" ht="30" customHeight="1" x14ac:dyDescent="0.3">
      <c r="H1646" s="21"/>
      <c r="K1646" s="20"/>
    </row>
    <row r="1647" spans="8:11" ht="30" customHeight="1" x14ac:dyDescent="0.3">
      <c r="H1647" s="21"/>
      <c r="K1647" s="20"/>
    </row>
    <row r="1648" spans="8:11" ht="30" customHeight="1" x14ac:dyDescent="0.3">
      <c r="H1648" s="21"/>
      <c r="K1648" s="20"/>
    </row>
    <row r="1649" spans="8:11" ht="30" customHeight="1" x14ac:dyDescent="0.3">
      <c r="H1649" s="21"/>
      <c r="K1649" s="20"/>
    </row>
    <row r="1650" spans="8:11" ht="30" customHeight="1" x14ac:dyDescent="0.3">
      <c r="H1650" s="21"/>
      <c r="K1650" s="20"/>
    </row>
    <row r="1651" spans="8:11" ht="30" customHeight="1" x14ac:dyDescent="0.3">
      <c r="H1651" s="21"/>
      <c r="K1651" s="20"/>
    </row>
    <row r="1652" spans="8:11" ht="30" customHeight="1" x14ac:dyDescent="0.3">
      <c r="H1652" s="21"/>
      <c r="K1652" s="20"/>
    </row>
    <row r="1653" spans="8:11" ht="30" customHeight="1" x14ac:dyDescent="0.3">
      <c r="H1653" s="21"/>
      <c r="K1653" s="20"/>
    </row>
    <row r="1654" spans="8:11" ht="30" customHeight="1" x14ac:dyDescent="0.3">
      <c r="H1654" s="21"/>
      <c r="K1654" s="20"/>
    </row>
    <row r="1655" spans="8:11" ht="30" customHeight="1" x14ac:dyDescent="0.3">
      <c r="H1655" s="21"/>
      <c r="K1655" s="20"/>
    </row>
    <row r="1656" spans="8:11" ht="30" customHeight="1" x14ac:dyDescent="0.3">
      <c r="H1656" s="21"/>
      <c r="K1656" s="20"/>
    </row>
    <row r="1657" spans="8:11" ht="30" customHeight="1" x14ac:dyDescent="0.3">
      <c r="H1657" s="21"/>
      <c r="K1657" s="20"/>
    </row>
    <row r="1658" spans="8:11" ht="30" customHeight="1" x14ac:dyDescent="0.3">
      <c r="H1658" s="21"/>
      <c r="K1658" s="20"/>
    </row>
    <row r="1659" spans="8:11" ht="30" customHeight="1" x14ac:dyDescent="0.3">
      <c r="H1659" s="21"/>
      <c r="K1659" s="20"/>
    </row>
    <row r="1660" spans="8:11" ht="30" customHeight="1" x14ac:dyDescent="0.3">
      <c r="H1660" s="21"/>
      <c r="K1660" s="20"/>
    </row>
    <row r="1661" spans="8:11" ht="30" customHeight="1" x14ac:dyDescent="0.3">
      <c r="H1661" s="21"/>
      <c r="K1661" s="20"/>
    </row>
    <row r="1662" spans="8:11" ht="30" customHeight="1" x14ac:dyDescent="0.3">
      <c r="H1662" s="21"/>
      <c r="K1662" s="20"/>
    </row>
    <row r="1663" spans="8:11" ht="30" customHeight="1" x14ac:dyDescent="0.3">
      <c r="H1663" s="21"/>
      <c r="K1663" s="20"/>
    </row>
    <row r="1664" spans="8:11" ht="30" customHeight="1" x14ac:dyDescent="0.3">
      <c r="H1664" s="21"/>
      <c r="K1664" s="20"/>
    </row>
    <row r="1665" spans="8:11" ht="30" customHeight="1" x14ac:dyDescent="0.3">
      <c r="H1665" s="21"/>
      <c r="K1665" s="20"/>
    </row>
    <row r="1666" spans="8:11" ht="30" customHeight="1" x14ac:dyDescent="0.3">
      <c r="H1666" s="21"/>
      <c r="K1666" s="20"/>
    </row>
    <row r="1667" spans="8:11" ht="30" customHeight="1" x14ac:dyDescent="0.3">
      <c r="H1667" s="21"/>
      <c r="K1667" s="20"/>
    </row>
    <row r="1668" spans="8:11" ht="30" customHeight="1" x14ac:dyDescent="0.3">
      <c r="H1668" s="21"/>
      <c r="K1668" s="20"/>
    </row>
    <row r="1669" spans="8:11" ht="30" customHeight="1" x14ac:dyDescent="0.3">
      <c r="H1669" s="21"/>
      <c r="K1669" s="20"/>
    </row>
    <row r="1670" spans="8:11" ht="30" customHeight="1" x14ac:dyDescent="0.3">
      <c r="H1670" s="21"/>
      <c r="K1670" s="20"/>
    </row>
    <row r="1671" spans="8:11" ht="30" customHeight="1" x14ac:dyDescent="0.3">
      <c r="H1671" s="21"/>
      <c r="K1671" s="20"/>
    </row>
    <row r="1672" spans="8:11" ht="30" customHeight="1" x14ac:dyDescent="0.3">
      <c r="H1672" s="21"/>
      <c r="K1672" s="20"/>
    </row>
    <row r="1673" spans="8:11" ht="30" customHeight="1" x14ac:dyDescent="0.3">
      <c r="H1673" s="21"/>
      <c r="K1673" s="20"/>
    </row>
    <row r="1674" spans="8:11" ht="30" customHeight="1" x14ac:dyDescent="0.3">
      <c r="H1674" s="21"/>
      <c r="K1674" s="20"/>
    </row>
    <row r="1675" spans="8:11" ht="30" customHeight="1" x14ac:dyDescent="0.3">
      <c r="H1675" s="21"/>
      <c r="K1675" s="20"/>
    </row>
    <row r="1676" spans="8:11" ht="30" customHeight="1" x14ac:dyDescent="0.3">
      <c r="H1676" s="21"/>
      <c r="K1676" s="20"/>
    </row>
    <row r="1677" spans="8:11" ht="30" customHeight="1" x14ac:dyDescent="0.3">
      <c r="H1677" s="21"/>
      <c r="K1677" s="20"/>
    </row>
    <row r="1678" spans="8:11" ht="30" customHeight="1" x14ac:dyDescent="0.3">
      <c r="H1678" s="21"/>
      <c r="K1678" s="20"/>
    </row>
    <row r="1679" spans="8:11" ht="30" customHeight="1" x14ac:dyDescent="0.3">
      <c r="H1679" s="21"/>
      <c r="K1679" s="20"/>
    </row>
    <row r="1680" spans="8:11" ht="30" customHeight="1" x14ac:dyDescent="0.3">
      <c r="H1680" s="21"/>
      <c r="K1680" s="20"/>
    </row>
    <row r="1681" spans="8:11" ht="30" customHeight="1" x14ac:dyDescent="0.3">
      <c r="H1681" s="21"/>
      <c r="K1681" s="20"/>
    </row>
    <row r="1682" spans="8:11" ht="30" customHeight="1" x14ac:dyDescent="0.3">
      <c r="H1682" s="21"/>
      <c r="K1682" s="20"/>
    </row>
    <row r="1683" spans="8:11" ht="30" customHeight="1" x14ac:dyDescent="0.3">
      <c r="H1683" s="21"/>
      <c r="K1683" s="20"/>
    </row>
    <row r="1684" spans="8:11" ht="30" customHeight="1" x14ac:dyDescent="0.3">
      <c r="H1684" s="21"/>
      <c r="K1684" s="20"/>
    </row>
    <row r="1685" spans="8:11" ht="30" customHeight="1" x14ac:dyDescent="0.3">
      <c r="H1685" s="21"/>
      <c r="K1685" s="20"/>
    </row>
    <row r="1686" spans="8:11" ht="30" customHeight="1" x14ac:dyDescent="0.3">
      <c r="H1686" s="21"/>
      <c r="K1686" s="20"/>
    </row>
    <row r="1687" spans="8:11" ht="30" customHeight="1" x14ac:dyDescent="0.3">
      <c r="H1687" s="21"/>
      <c r="K1687" s="20"/>
    </row>
    <row r="1688" spans="8:11" ht="30" customHeight="1" x14ac:dyDescent="0.3">
      <c r="H1688" s="21"/>
      <c r="K1688" s="20"/>
    </row>
    <row r="1689" spans="8:11" ht="30" customHeight="1" x14ac:dyDescent="0.3">
      <c r="H1689" s="21"/>
      <c r="K1689" s="20"/>
    </row>
    <row r="1690" spans="8:11" ht="30" customHeight="1" x14ac:dyDescent="0.3">
      <c r="H1690" s="21"/>
      <c r="K1690" s="20"/>
    </row>
    <row r="1691" spans="8:11" ht="30" customHeight="1" x14ac:dyDescent="0.3">
      <c r="H1691" s="21"/>
      <c r="K1691" s="20"/>
    </row>
    <row r="1692" spans="8:11" ht="30" customHeight="1" x14ac:dyDescent="0.3">
      <c r="H1692" s="21"/>
      <c r="K1692" s="20"/>
    </row>
    <row r="1693" spans="8:11" ht="30" customHeight="1" x14ac:dyDescent="0.3">
      <c r="H1693" s="21"/>
      <c r="K1693" s="20"/>
    </row>
    <row r="1694" spans="8:11" ht="30" customHeight="1" x14ac:dyDescent="0.3">
      <c r="H1694" s="21"/>
      <c r="K1694" s="20"/>
    </row>
    <row r="1695" spans="8:11" ht="30" customHeight="1" x14ac:dyDescent="0.3">
      <c r="H1695" s="21"/>
      <c r="K1695" s="20"/>
    </row>
    <row r="1696" spans="8:11" ht="30" customHeight="1" x14ac:dyDescent="0.3">
      <c r="H1696" s="21"/>
      <c r="K1696" s="20"/>
    </row>
    <row r="1697" spans="8:11" ht="30" customHeight="1" x14ac:dyDescent="0.3">
      <c r="H1697" s="21"/>
      <c r="K1697" s="20"/>
    </row>
    <row r="1698" spans="8:11" ht="30" customHeight="1" x14ac:dyDescent="0.3">
      <c r="H1698" s="21"/>
      <c r="K1698" s="20"/>
    </row>
    <row r="1699" spans="8:11" ht="30" customHeight="1" x14ac:dyDescent="0.3">
      <c r="H1699" s="21"/>
      <c r="K1699" s="20"/>
    </row>
    <row r="1700" spans="8:11" ht="30" customHeight="1" x14ac:dyDescent="0.3">
      <c r="H1700" s="21"/>
      <c r="K1700" s="20"/>
    </row>
    <row r="1701" spans="8:11" ht="30" customHeight="1" x14ac:dyDescent="0.3">
      <c r="H1701" s="21"/>
      <c r="K1701" s="20"/>
    </row>
    <row r="1702" spans="8:11" ht="30" customHeight="1" x14ac:dyDescent="0.3">
      <c r="H1702" s="21"/>
      <c r="K1702" s="20"/>
    </row>
    <row r="1703" spans="8:11" ht="30" customHeight="1" x14ac:dyDescent="0.3">
      <c r="H1703" s="21"/>
      <c r="K1703" s="20"/>
    </row>
    <row r="1704" spans="8:11" ht="30" customHeight="1" x14ac:dyDescent="0.3">
      <c r="H1704" s="21"/>
      <c r="K1704" s="20"/>
    </row>
    <row r="1705" spans="8:11" ht="30" customHeight="1" x14ac:dyDescent="0.3">
      <c r="H1705" s="21"/>
      <c r="K1705" s="20"/>
    </row>
    <row r="1706" spans="8:11" ht="30" customHeight="1" x14ac:dyDescent="0.3">
      <c r="H1706" s="21"/>
      <c r="K1706" s="20"/>
    </row>
    <row r="1707" spans="8:11" ht="30" customHeight="1" x14ac:dyDescent="0.3">
      <c r="H1707" s="21"/>
      <c r="K1707" s="20"/>
    </row>
    <row r="1708" spans="8:11" ht="30" customHeight="1" x14ac:dyDescent="0.3">
      <c r="H1708" s="21"/>
      <c r="K1708" s="20"/>
    </row>
    <row r="1709" spans="8:11" ht="30" customHeight="1" x14ac:dyDescent="0.3">
      <c r="H1709" s="21"/>
      <c r="K1709" s="20"/>
    </row>
    <row r="1710" spans="8:11" ht="30" customHeight="1" x14ac:dyDescent="0.3">
      <c r="H1710" s="21"/>
      <c r="K1710" s="20"/>
    </row>
    <row r="1711" spans="8:11" ht="30" customHeight="1" x14ac:dyDescent="0.3">
      <c r="H1711" s="21"/>
      <c r="K1711" s="20"/>
    </row>
    <row r="1712" spans="8:11" ht="30" customHeight="1" x14ac:dyDescent="0.3">
      <c r="H1712" s="21"/>
      <c r="K1712" s="20"/>
    </row>
    <row r="1713" spans="8:11" ht="30" customHeight="1" x14ac:dyDescent="0.3">
      <c r="H1713" s="21"/>
      <c r="K1713" s="20"/>
    </row>
    <row r="1714" spans="8:11" ht="30" customHeight="1" x14ac:dyDescent="0.3">
      <c r="H1714" s="21"/>
      <c r="K1714" s="20"/>
    </row>
    <row r="1715" spans="8:11" ht="30" customHeight="1" x14ac:dyDescent="0.3">
      <c r="H1715" s="21"/>
      <c r="K1715" s="20"/>
    </row>
    <row r="1716" spans="8:11" ht="30" customHeight="1" x14ac:dyDescent="0.3">
      <c r="H1716" s="21"/>
      <c r="K1716" s="20"/>
    </row>
    <row r="1717" spans="8:11" ht="30" customHeight="1" x14ac:dyDescent="0.3">
      <c r="H1717" s="21"/>
      <c r="K1717" s="20"/>
    </row>
    <row r="1718" spans="8:11" ht="30" customHeight="1" x14ac:dyDescent="0.3">
      <c r="H1718" s="21"/>
      <c r="K1718" s="20"/>
    </row>
    <row r="1719" spans="8:11" ht="30" customHeight="1" x14ac:dyDescent="0.3">
      <c r="H1719" s="21"/>
      <c r="K1719" s="20"/>
    </row>
    <row r="1720" spans="8:11" ht="30" customHeight="1" x14ac:dyDescent="0.3">
      <c r="H1720" s="21"/>
      <c r="K1720" s="20"/>
    </row>
    <row r="1721" spans="8:11" ht="30" customHeight="1" x14ac:dyDescent="0.3">
      <c r="H1721" s="21"/>
      <c r="K1721" s="20"/>
    </row>
    <row r="1722" spans="8:11" ht="30" customHeight="1" x14ac:dyDescent="0.3">
      <c r="H1722" s="21"/>
      <c r="K1722" s="20"/>
    </row>
    <row r="1723" spans="8:11" ht="30" customHeight="1" x14ac:dyDescent="0.3">
      <c r="H1723" s="21"/>
      <c r="K1723" s="20"/>
    </row>
    <row r="1724" spans="8:11" ht="30" customHeight="1" x14ac:dyDescent="0.3">
      <c r="H1724" s="21"/>
      <c r="K1724" s="20"/>
    </row>
    <row r="1725" spans="8:11" ht="30" customHeight="1" x14ac:dyDescent="0.3">
      <c r="H1725" s="21"/>
      <c r="K1725" s="20"/>
    </row>
    <row r="1726" spans="8:11" ht="30" customHeight="1" x14ac:dyDescent="0.3">
      <c r="H1726" s="21"/>
      <c r="K1726" s="20"/>
    </row>
    <row r="1727" spans="8:11" ht="30" customHeight="1" x14ac:dyDescent="0.3">
      <c r="H1727" s="21"/>
      <c r="K1727" s="20"/>
    </row>
    <row r="1728" spans="8:11" ht="30" customHeight="1" x14ac:dyDescent="0.3">
      <c r="H1728" s="21"/>
      <c r="K1728" s="20"/>
    </row>
    <row r="1729" spans="8:11" ht="30" customHeight="1" x14ac:dyDescent="0.3">
      <c r="H1729" s="21"/>
      <c r="K1729" s="20"/>
    </row>
    <row r="1730" spans="8:11" ht="30" customHeight="1" x14ac:dyDescent="0.3">
      <c r="H1730" s="21"/>
      <c r="K1730" s="20"/>
    </row>
    <row r="1731" spans="8:11" ht="30" customHeight="1" x14ac:dyDescent="0.3">
      <c r="H1731" s="21"/>
      <c r="K1731" s="20"/>
    </row>
    <row r="1732" spans="8:11" ht="30" customHeight="1" x14ac:dyDescent="0.3">
      <c r="H1732" s="21"/>
      <c r="K1732" s="20"/>
    </row>
    <row r="1733" spans="8:11" ht="30" customHeight="1" x14ac:dyDescent="0.3">
      <c r="H1733" s="21"/>
      <c r="K1733" s="20"/>
    </row>
    <row r="1734" spans="8:11" ht="30" customHeight="1" x14ac:dyDescent="0.3">
      <c r="H1734" s="21"/>
      <c r="K1734" s="20"/>
    </row>
    <row r="1735" spans="8:11" ht="30" customHeight="1" x14ac:dyDescent="0.3">
      <c r="H1735" s="21"/>
      <c r="K1735" s="20"/>
    </row>
    <row r="1736" spans="8:11" ht="30" customHeight="1" x14ac:dyDescent="0.3">
      <c r="H1736" s="21"/>
      <c r="K1736" s="20"/>
    </row>
    <row r="1737" spans="8:11" ht="30" customHeight="1" x14ac:dyDescent="0.3">
      <c r="H1737" s="21"/>
      <c r="K1737" s="20"/>
    </row>
    <row r="1738" spans="8:11" ht="30" customHeight="1" x14ac:dyDescent="0.3">
      <c r="H1738" s="21"/>
      <c r="K1738" s="20"/>
    </row>
    <row r="1739" spans="8:11" ht="30" customHeight="1" x14ac:dyDescent="0.3">
      <c r="H1739" s="21"/>
      <c r="K1739" s="20"/>
    </row>
    <row r="1740" spans="8:11" ht="30" customHeight="1" x14ac:dyDescent="0.3">
      <c r="H1740" s="21"/>
      <c r="K1740" s="20"/>
    </row>
    <row r="1741" spans="8:11" ht="30" customHeight="1" x14ac:dyDescent="0.3">
      <c r="H1741" s="21"/>
      <c r="K1741" s="20"/>
    </row>
    <row r="1742" spans="8:11" ht="30" customHeight="1" x14ac:dyDescent="0.3">
      <c r="H1742" s="21"/>
      <c r="K1742" s="20"/>
    </row>
    <row r="1743" spans="8:11" ht="30" customHeight="1" x14ac:dyDescent="0.3">
      <c r="H1743" s="21"/>
      <c r="K1743" s="20"/>
    </row>
    <row r="1744" spans="8:11" ht="30" customHeight="1" x14ac:dyDescent="0.3">
      <c r="H1744" s="21"/>
      <c r="K1744" s="20"/>
    </row>
    <row r="1745" spans="8:11" ht="30" customHeight="1" x14ac:dyDescent="0.3">
      <c r="H1745" s="21"/>
      <c r="K1745" s="20"/>
    </row>
    <row r="1746" spans="8:11" ht="30" customHeight="1" x14ac:dyDescent="0.3">
      <c r="H1746" s="21"/>
      <c r="K1746" s="20"/>
    </row>
    <row r="1747" spans="8:11" ht="30" customHeight="1" x14ac:dyDescent="0.3">
      <c r="H1747" s="21"/>
      <c r="K1747" s="20"/>
    </row>
    <row r="1748" spans="8:11" ht="30" customHeight="1" x14ac:dyDescent="0.3">
      <c r="H1748" s="21"/>
      <c r="K1748" s="20"/>
    </row>
    <row r="1749" spans="8:11" ht="30" customHeight="1" x14ac:dyDescent="0.3">
      <c r="H1749" s="21"/>
      <c r="K1749" s="20"/>
    </row>
    <row r="1750" spans="8:11" ht="30" customHeight="1" x14ac:dyDescent="0.3">
      <c r="H1750" s="21"/>
      <c r="K1750" s="20"/>
    </row>
    <row r="1751" spans="8:11" ht="30" customHeight="1" x14ac:dyDescent="0.3">
      <c r="H1751" s="21"/>
      <c r="K1751" s="20"/>
    </row>
    <row r="1752" spans="8:11" ht="30" customHeight="1" x14ac:dyDescent="0.3">
      <c r="H1752" s="21"/>
      <c r="K1752" s="20"/>
    </row>
    <row r="1753" spans="8:11" ht="30" customHeight="1" x14ac:dyDescent="0.3">
      <c r="H1753" s="21"/>
      <c r="K1753" s="20"/>
    </row>
    <row r="1754" spans="8:11" ht="30" customHeight="1" x14ac:dyDescent="0.3">
      <c r="H1754" s="21"/>
      <c r="K1754" s="20"/>
    </row>
    <row r="1755" spans="8:11" ht="30" customHeight="1" x14ac:dyDescent="0.3">
      <c r="H1755" s="21"/>
      <c r="K1755" s="20"/>
    </row>
    <row r="1756" spans="8:11" ht="30" customHeight="1" x14ac:dyDescent="0.3">
      <c r="H1756" s="21"/>
      <c r="K1756" s="20"/>
    </row>
    <row r="1757" spans="8:11" ht="30" customHeight="1" x14ac:dyDescent="0.3">
      <c r="H1757" s="21"/>
      <c r="K1757" s="20"/>
    </row>
    <row r="1758" spans="8:11" ht="30" customHeight="1" x14ac:dyDescent="0.3">
      <c r="H1758" s="21"/>
      <c r="K1758" s="20"/>
    </row>
    <row r="1759" spans="8:11" ht="30" customHeight="1" x14ac:dyDescent="0.3">
      <c r="H1759" s="21"/>
      <c r="K1759" s="20"/>
    </row>
    <row r="1760" spans="8:11" ht="30" customHeight="1" x14ac:dyDescent="0.3">
      <c r="H1760" s="21"/>
      <c r="K1760" s="20"/>
    </row>
    <row r="1761" spans="8:11" ht="30" customHeight="1" x14ac:dyDescent="0.3">
      <c r="H1761" s="21"/>
      <c r="K1761" s="20"/>
    </row>
    <row r="1762" spans="8:11" ht="30" customHeight="1" x14ac:dyDescent="0.3">
      <c r="H1762" s="21"/>
      <c r="K1762" s="20"/>
    </row>
    <row r="1763" spans="8:11" ht="30" customHeight="1" x14ac:dyDescent="0.3">
      <c r="H1763" s="21"/>
      <c r="K1763" s="20"/>
    </row>
    <row r="1764" spans="8:11" ht="30" customHeight="1" x14ac:dyDescent="0.3">
      <c r="H1764" s="21"/>
      <c r="K1764" s="20"/>
    </row>
    <row r="1765" spans="8:11" ht="30" customHeight="1" x14ac:dyDescent="0.3">
      <c r="H1765" s="21"/>
      <c r="K1765" s="20"/>
    </row>
    <row r="1766" spans="8:11" ht="30" customHeight="1" x14ac:dyDescent="0.3">
      <c r="H1766" s="21"/>
      <c r="K1766" s="20"/>
    </row>
    <row r="1767" spans="8:11" ht="30" customHeight="1" x14ac:dyDescent="0.3">
      <c r="H1767" s="21"/>
      <c r="K1767" s="20"/>
    </row>
    <row r="1768" spans="8:11" ht="30" customHeight="1" x14ac:dyDescent="0.3">
      <c r="H1768" s="21"/>
      <c r="K1768" s="20"/>
    </row>
    <row r="1769" spans="8:11" ht="30" customHeight="1" x14ac:dyDescent="0.3">
      <c r="H1769" s="21"/>
      <c r="K1769" s="20"/>
    </row>
    <row r="1770" spans="8:11" ht="30" customHeight="1" x14ac:dyDescent="0.3">
      <c r="H1770" s="21"/>
      <c r="K1770" s="20"/>
    </row>
    <row r="1771" spans="8:11" ht="30" customHeight="1" x14ac:dyDescent="0.3">
      <c r="H1771" s="21"/>
      <c r="K1771" s="20"/>
    </row>
    <row r="1772" spans="8:11" ht="30" customHeight="1" x14ac:dyDescent="0.3">
      <c r="H1772" s="21"/>
      <c r="K1772" s="20"/>
    </row>
    <row r="1773" spans="8:11" ht="30" customHeight="1" x14ac:dyDescent="0.3">
      <c r="H1773" s="21"/>
      <c r="K1773" s="20"/>
    </row>
    <row r="1774" spans="8:11" ht="30" customHeight="1" x14ac:dyDescent="0.3">
      <c r="H1774" s="21"/>
      <c r="K1774" s="20"/>
    </row>
    <row r="1775" spans="8:11" ht="30" customHeight="1" x14ac:dyDescent="0.3">
      <c r="H1775" s="21"/>
      <c r="K1775" s="20"/>
    </row>
    <row r="1776" spans="8:11" ht="30" customHeight="1" x14ac:dyDescent="0.3">
      <c r="H1776" s="21"/>
      <c r="K1776" s="20"/>
    </row>
    <row r="1777" spans="8:11" ht="30" customHeight="1" x14ac:dyDescent="0.3">
      <c r="H1777" s="21"/>
      <c r="K1777" s="20"/>
    </row>
    <row r="1778" spans="8:11" ht="30" customHeight="1" x14ac:dyDescent="0.3">
      <c r="H1778" s="21"/>
      <c r="K1778" s="20"/>
    </row>
    <row r="1779" spans="8:11" ht="30" customHeight="1" x14ac:dyDescent="0.3">
      <c r="H1779" s="21"/>
      <c r="K1779" s="20"/>
    </row>
    <row r="1780" spans="8:11" ht="30" customHeight="1" x14ac:dyDescent="0.3">
      <c r="H1780" s="21"/>
      <c r="K1780" s="20"/>
    </row>
    <row r="1781" spans="8:11" ht="30" customHeight="1" x14ac:dyDescent="0.3">
      <c r="H1781" s="21"/>
      <c r="K1781" s="20"/>
    </row>
    <row r="1782" spans="8:11" ht="30" customHeight="1" x14ac:dyDescent="0.3">
      <c r="H1782" s="21"/>
      <c r="K1782" s="20"/>
    </row>
    <row r="1783" spans="8:11" ht="30" customHeight="1" x14ac:dyDescent="0.3">
      <c r="H1783" s="21"/>
      <c r="K1783" s="20"/>
    </row>
    <row r="1784" spans="8:11" ht="30" customHeight="1" x14ac:dyDescent="0.3">
      <c r="H1784" s="21"/>
      <c r="K1784" s="20"/>
    </row>
    <row r="1785" spans="8:11" ht="30" customHeight="1" x14ac:dyDescent="0.3">
      <c r="H1785" s="21"/>
      <c r="K1785" s="20"/>
    </row>
    <row r="1786" spans="8:11" ht="30" customHeight="1" x14ac:dyDescent="0.3">
      <c r="H1786" s="21"/>
      <c r="K1786" s="20"/>
    </row>
    <row r="1787" spans="8:11" ht="30" customHeight="1" x14ac:dyDescent="0.3">
      <c r="H1787" s="21"/>
      <c r="K1787" s="20"/>
    </row>
    <row r="1788" spans="8:11" ht="30" customHeight="1" x14ac:dyDescent="0.3">
      <c r="H1788" s="21"/>
      <c r="K1788" s="20"/>
    </row>
    <row r="1789" spans="8:11" ht="30" customHeight="1" x14ac:dyDescent="0.3">
      <c r="H1789" s="21"/>
      <c r="K1789" s="20"/>
    </row>
    <row r="1790" spans="8:11" ht="30" customHeight="1" x14ac:dyDescent="0.3">
      <c r="H1790" s="21"/>
      <c r="K1790" s="20"/>
    </row>
    <row r="1791" spans="8:11" ht="30" customHeight="1" x14ac:dyDescent="0.3">
      <c r="H1791" s="21"/>
      <c r="K1791" s="20"/>
    </row>
    <row r="1792" spans="8:11" ht="30" customHeight="1" x14ac:dyDescent="0.3">
      <c r="H1792" s="21"/>
      <c r="K1792" s="20"/>
    </row>
    <row r="1793" spans="8:11" ht="30" customHeight="1" x14ac:dyDescent="0.3">
      <c r="H1793" s="21"/>
      <c r="K1793" s="20"/>
    </row>
    <row r="1794" spans="8:11" ht="30" customHeight="1" x14ac:dyDescent="0.3">
      <c r="H1794" s="21"/>
      <c r="K1794" s="20"/>
    </row>
    <row r="1795" spans="8:11" ht="30" customHeight="1" x14ac:dyDescent="0.3">
      <c r="H1795" s="21"/>
      <c r="K1795" s="20"/>
    </row>
    <row r="1796" spans="8:11" ht="30" customHeight="1" x14ac:dyDescent="0.3">
      <c r="H1796" s="21"/>
      <c r="K1796" s="20"/>
    </row>
    <row r="1797" spans="8:11" ht="30" customHeight="1" x14ac:dyDescent="0.3">
      <c r="H1797" s="21"/>
      <c r="K1797" s="20"/>
    </row>
    <row r="1798" spans="8:11" ht="30" customHeight="1" x14ac:dyDescent="0.3">
      <c r="H1798" s="21"/>
      <c r="K1798" s="20"/>
    </row>
    <row r="1799" spans="8:11" ht="30" customHeight="1" x14ac:dyDescent="0.3">
      <c r="H1799" s="21"/>
      <c r="K1799" s="20"/>
    </row>
    <row r="1800" spans="8:11" ht="30" customHeight="1" x14ac:dyDescent="0.3">
      <c r="H1800" s="21"/>
      <c r="K1800" s="20"/>
    </row>
    <row r="1801" spans="8:11" ht="30" customHeight="1" x14ac:dyDescent="0.3">
      <c r="H1801" s="21"/>
      <c r="K1801" s="20"/>
    </row>
    <row r="1802" spans="8:11" ht="30" customHeight="1" x14ac:dyDescent="0.3">
      <c r="H1802" s="21"/>
      <c r="K1802" s="20"/>
    </row>
    <row r="1803" spans="8:11" ht="30" customHeight="1" x14ac:dyDescent="0.3">
      <c r="H1803" s="21"/>
      <c r="K1803" s="20"/>
    </row>
    <row r="1804" spans="8:11" ht="30" customHeight="1" x14ac:dyDescent="0.3">
      <c r="H1804" s="21"/>
      <c r="K1804" s="20"/>
    </row>
    <row r="1805" spans="8:11" ht="30" customHeight="1" x14ac:dyDescent="0.3">
      <c r="H1805" s="21"/>
      <c r="K1805" s="20"/>
    </row>
    <row r="1806" spans="8:11" ht="30" customHeight="1" x14ac:dyDescent="0.3">
      <c r="H1806" s="21"/>
      <c r="K1806" s="20"/>
    </row>
    <row r="1807" spans="8:11" ht="30" customHeight="1" x14ac:dyDescent="0.3">
      <c r="H1807" s="21"/>
      <c r="K1807" s="20"/>
    </row>
    <row r="1808" spans="8:11" ht="30" customHeight="1" x14ac:dyDescent="0.3">
      <c r="H1808" s="21"/>
      <c r="K1808" s="20"/>
    </row>
    <row r="1809" spans="8:11" ht="30" customHeight="1" x14ac:dyDescent="0.3">
      <c r="H1809" s="21"/>
      <c r="K1809" s="20"/>
    </row>
    <row r="1810" spans="8:11" ht="30" customHeight="1" x14ac:dyDescent="0.3">
      <c r="H1810" s="21"/>
      <c r="K1810" s="20"/>
    </row>
    <row r="1811" spans="8:11" ht="30" customHeight="1" x14ac:dyDescent="0.3">
      <c r="H1811" s="21"/>
      <c r="K1811" s="20"/>
    </row>
    <row r="1812" spans="8:11" ht="30" customHeight="1" x14ac:dyDescent="0.3">
      <c r="H1812" s="21"/>
      <c r="K1812" s="20"/>
    </row>
    <row r="1813" spans="8:11" ht="30" customHeight="1" x14ac:dyDescent="0.3">
      <c r="H1813" s="21"/>
      <c r="K1813" s="20"/>
    </row>
    <row r="1814" spans="8:11" ht="30" customHeight="1" x14ac:dyDescent="0.3">
      <c r="H1814" s="21"/>
      <c r="K1814" s="20"/>
    </row>
    <row r="1815" spans="8:11" ht="30" customHeight="1" x14ac:dyDescent="0.3">
      <c r="H1815" s="21"/>
      <c r="K1815" s="20"/>
    </row>
    <row r="1816" spans="8:11" ht="30" customHeight="1" x14ac:dyDescent="0.3">
      <c r="H1816" s="21"/>
      <c r="K1816" s="20"/>
    </row>
    <row r="1817" spans="8:11" ht="30" customHeight="1" x14ac:dyDescent="0.3">
      <c r="H1817" s="21"/>
      <c r="K1817" s="20"/>
    </row>
    <row r="1818" spans="8:11" ht="30" customHeight="1" x14ac:dyDescent="0.3">
      <c r="H1818" s="21"/>
      <c r="K1818" s="20"/>
    </row>
    <row r="1819" spans="8:11" ht="30" customHeight="1" x14ac:dyDescent="0.3">
      <c r="H1819" s="21"/>
      <c r="K1819" s="20"/>
    </row>
    <row r="1820" spans="8:11" ht="30" customHeight="1" x14ac:dyDescent="0.3">
      <c r="H1820" s="21"/>
      <c r="K1820" s="20"/>
    </row>
    <row r="1821" spans="8:11" ht="30" customHeight="1" x14ac:dyDescent="0.3">
      <c r="H1821" s="21"/>
      <c r="K1821" s="20"/>
    </row>
    <row r="1822" spans="8:11" ht="30" customHeight="1" x14ac:dyDescent="0.3">
      <c r="H1822" s="21"/>
      <c r="K1822" s="20"/>
    </row>
    <row r="1823" spans="8:11" ht="30" customHeight="1" x14ac:dyDescent="0.3">
      <c r="H1823" s="21"/>
      <c r="K1823" s="20"/>
    </row>
    <row r="1824" spans="8:11" ht="30" customHeight="1" x14ac:dyDescent="0.3">
      <c r="H1824" s="21"/>
      <c r="K1824" s="20"/>
    </row>
    <row r="1825" spans="8:11" ht="30" customHeight="1" x14ac:dyDescent="0.3">
      <c r="H1825" s="21"/>
      <c r="K1825" s="20"/>
    </row>
    <row r="1826" spans="8:11" ht="30" customHeight="1" x14ac:dyDescent="0.3">
      <c r="H1826" s="21"/>
      <c r="K1826" s="20"/>
    </row>
    <row r="1827" spans="8:11" ht="30" customHeight="1" x14ac:dyDescent="0.3">
      <c r="H1827" s="21"/>
      <c r="K1827" s="20"/>
    </row>
    <row r="1828" spans="8:11" ht="30" customHeight="1" x14ac:dyDescent="0.3">
      <c r="H1828" s="21"/>
      <c r="K1828" s="20"/>
    </row>
    <row r="1829" spans="8:11" ht="30" customHeight="1" x14ac:dyDescent="0.3">
      <c r="H1829" s="21"/>
      <c r="K1829" s="20"/>
    </row>
    <row r="1830" spans="8:11" ht="30" customHeight="1" x14ac:dyDescent="0.3">
      <c r="H1830" s="21"/>
      <c r="K1830" s="20"/>
    </row>
    <row r="1831" spans="8:11" ht="30" customHeight="1" x14ac:dyDescent="0.3">
      <c r="H1831" s="21"/>
      <c r="K1831" s="20"/>
    </row>
  </sheetData>
  <autoFilter ref="E1:E1547" xr:uid="{C4D2F428-A4CB-4379-B153-1B2B724E81AF}"/>
  <mergeCells count="13">
    <mergeCell ref="A20:G20"/>
    <mergeCell ref="K1:K2"/>
    <mergeCell ref="A1:A2"/>
    <mergeCell ref="B1:B2"/>
    <mergeCell ref="C1:C2"/>
    <mergeCell ref="D1:D2"/>
    <mergeCell ref="E1:E2"/>
    <mergeCell ref="F1:G1"/>
    <mergeCell ref="J1:J2"/>
    <mergeCell ref="H1:H2"/>
    <mergeCell ref="I1:I2"/>
    <mergeCell ref="A7:G7"/>
    <mergeCell ref="A11:G11"/>
  </mergeCells>
  <phoneticPr fontId="2" type="noConversion"/>
  <conditionalFormatting sqref="A31:D31">
    <cfRule type="containsText" dxfId="7" priority="13" operator="containsText" text="Kha Wei Chan">
      <formula>NOT(ISERROR(SEARCH("Kha Wei Chan",A31)))</formula>
    </cfRule>
    <cfRule type="timePeriod" dxfId="6" priority="14" timePeriod="thisMonth">
      <formula>AND(MONTH(A31)=MONTH(TODAY()),YEAR(A31)=YEAR(TODAY()))</formula>
    </cfRule>
  </conditionalFormatting>
  <conditionalFormatting sqref="A37:D37">
    <cfRule type="containsText" dxfId="5" priority="11" operator="containsText" text="Kha Wei Chan">
      <formula>NOT(ISERROR(SEARCH("Kha Wei Chan",A37)))</formula>
    </cfRule>
    <cfRule type="timePeriod" dxfId="4" priority="12" timePeriod="thisMonth">
      <formula>AND(MONTH(A37)=MONTH(TODAY()),YEAR(A37)=YEAR(TODAY()))</formula>
    </cfRule>
  </conditionalFormatting>
  <conditionalFormatting sqref="A41:D41">
    <cfRule type="containsText" dxfId="3" priority="3" operator="containsText" text="Kha Wei Chan">
      <formula>NOT(ISERROR(SEARCH("Kha Wei Chan",A41)))</formula>
    </cfRule>
    <cfRule type="timePeriod" dxfId="2" priority="4" timePeriod="thisMonth">
      <formula>AND(MONTH(A41)=MONTH(TODAY()),YEAR(A41)=YEAR(TODAY()))</formula>
    </cfRule>
  </conditionalFormatting>
  <conditionalFormatting sqref="A43:D43">
    <cfRule type="containsText" dxfId="1" priority="1" operator="containsText" text="Kha Wei Chan">
      <formula>NOT(ISERROR(SEARCH("Kha Wei Chan",A43)))</formula>
    </cfRule>
    <cfRule type="timePeriod" dxfId="0" priority="2" timePeriod="thisMonth">
      <formula>AND(MONTH(A43)=MONTH(TODAY()),YEAR(A43)=YEAR(TODAY()))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- Makro</vt:lpstr>
      <vt:lpstr>Makro-Sat Sun</vt:lpstr>
      <vt:lpstr>Makro - Kha Wei Chan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Ei Thaw Soe</cp:lastModifiedBy>
  <dcterms:created xsi:type="dcterms:W3CDTF">2015-06-05T18:17:20Z</dcterms:created>
  <dcterms:modified xsi:type="dcterms:W3CDTF">2026-09-23T08:55:39Z</dcterms:modified>
</cp:coreProperties>
</file>