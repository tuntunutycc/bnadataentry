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INVOICE\Sale invoice and payment\sale invoice\"/>
    </mc:Choice>
  </mc:AlternateContent>
  <xr:revisionPtr revIDLastSave="0" documentId="13_ncr:1_{D89AF33A-31B1-405D-981C-1ED9EF7B70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 - One Stop Mart" sheetId="1" r:id="rId1"/>
    <sheet name="One Stop M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2" l="1"/>
  <c r="I36" i="2"/>
  <c r="K34" i="2"/>
  <c r="I34" i="2"/>
  <c r="K33" i="2"/>
  <c r="I33" i="2"/>
  <c r="K32" i="2"/>
  <c r="I32" i="2"/>
  <c r="K31" i="2"/>
  <c r="I31" i="2"/>
  <c r="I35" i="2" l="1"/>
  <c r="K35" i="2"/>
  <c r="G8" i="1"/>
  <c r="H8" i="1" s="1"/>
  <c r="G9" i="1"/>
  <c r="H9" i="1" s="1"/>
  <c r="G3" i="1" l="1"/>
  <c r="H3" i="1"/>
  <c r="G4" i="1"/>
  <c r="H4" i="1" s="1"/>
  <c r="G5" i="1"/>
  <c r="H5" i="1"/>
  <c r="G6" i="1"/>
  <c r="H6" i="1"/>
  <c r="G7" i="1"/>
  <c r="H7" i="1" s="1"/>
  <c r="K29" i="2" l="1"/>
  <c r="I29" i="2"/>
  <c r="K28" i="2"/>
  <c r="I28" i="2"/>
  <c r="K27" i="2"/>
  <c r="I27" i="2"/>
  <c r="K26" i="2"/>
  <c r="I26" i="2"/>
  <c r="K24" i="2"/>
  <c r="I24" i="2"/>
  <c r="K23" i="2"/>
  <c r="I23" i="2"/>
  <c r="K22" i="2"/>
  <c r="I22" i="2"/>
  <c r="K21" i="2"/>
  <c r="K25" i="2" s="1"/>
  <c r="I21" i="2"/>
  <c r="I25" i="2" s="1"/>
  <c r="G2" i="1"/>
  <c r="K30" i="2" l="1"/>
  <c r="I30" i="2"/>
  <c r="K19" i="2"/>
  <c r="I19" i="2"/>
  <c r="K18" i="2"/>
  <c r="I18" i="2"/>
  <c r="K20" i="2" l="1"/>
  <c r="K17" i="2"/>
  <c r="I16" i="2"/>
  <c r="I15" i="2"/>
  <c r="I17" i="2" s="1"/>
  <c r="K14" i="2"/>
  <c r="I13" i="2"/>
  <c r="I12" i="2"/>
  <c r="I11" i="2"/>
  <c r="I10" i="2"/>
  <c r="I9" i="2"/>
  <c r="I8" i="2"/>
  <c r="I14" i="2" l="1"/>
  <c r="H2" i="1"/>
  <c r="K7" i="2"/>
  <c r="I6" i="2"/>
  <c r="I7" i="2" s="1"/>
  <c r="K4" i="2"/>
  <c r="K3" i="2"/>
  <c r="K5" i="2" s="1"/>
  <c r="I4" i="2"/>
  <c r="I3" i="2"/>
  <c r="I5" i="2" l="1"/>
</calcChain>
</file>

<file path=xl/sharedStrings.xml><?xml version="1.0" encoding="utf-8"?>
<sst xmlns="http://schemas.openxmlformats.org/spreadsheetml/2006/main" count="162" uniqueCount="103">
  <si>
    <t xml:space="preserve">Invoice Date </t>
  </si>
  <si>
    <t>Due Date</t>
  </si>
  <si>
    <t>Invoice No</t>
  </si>
  <si>
    <t>Product</t>
  </si>
  <si>
    <t>Balance 
(To Receive)</t>
  </si>
  <si>
    <t>Po Date</t>
  </si>
  <si>
    <t>Invoice Date</t>
  </si>
  <si>
    <t>Due Date
 (Payment)</t>
  </si>
  <si>
    <t>Product Description</t>
  </si>
  <si>
    <t>Pack Qty</t>
  </si>
  <si>
    <t>List Price</t>
  </si>
  <si>
    <t>Total</t>
  </si>
  <si>
    <t xml:space="preserve">Grand Total </t>
  </si>
  <si>
    <t>Pk (pcs)</t>
  </si>
  <si>
    <t>Unit</t>
  </si>
  <si>
    <t>29.10.2025</t>
  </si>
  <si>
    <t>29.11.2025</t>
  </si>
  <si>
    <t>0121</t>
  </si>
  <si>
    <t>Healthy Boy 940ml , 600ml</t>
  </si>
  <si>
    <t xml:space="preserve">Total Invoice </t>
  </si>
  <si>
    <t>Yobick Yoghurt Original</t>
  </si>
  <si>
    <t>Yobick Yoghurt Strawberry</t>
  </si>
  <si>
    <t>Discount (5%,10%)</t>
  </si>
  <si>
    <t>Retro (5%,10%)</t>
  </si>
  <si>
    <t>8.5.2026</t>
  </si>
  <si>
    <t>11.5.2026</t>
  </si>
  <si>
    <t>11.6.2026</t>
  </si>
  <si>
    <t>0525</t>
  </si>
  <si>
    <t>Ablre Farm Chocolate Milk 200 ml</t>
  </si>
  <si>
    <t>Able Farm Full Cream Milk 1L</t>
  </si>
  <si>
    <t xml:space="preserve">Able Farm Minuman Oat Org Milk 200 ml </t>
  </si>
  <si>
    <t>Able Farm Strawberry Milk 200 ml</t>
  </si>
  <si>
    <t>Total Amount</t>
  </si>
  <si>
    <t>PO Date</t>
  </si>
  <si>
    <t>5.6.2026</t>
  </si>
  <si>
    <t>10.6.2026</t>
  </si>
  <si>
    <t>2108</t>
  </si>
  <si>
    <t>25.7.2026</t>
  </si>
  <si>
    <t>13.6.2026</t>
  </si>
  <si>
    <t>19.6.2026</t>
  </si>
  <si>
    <t>4.8.2026</t>
  </si>
  <si>
    <t>0640</t>
  </si>
  <si>
    <t>Able Farm Full Cream Milk 200 ml</t>
  </si>
  <si>
    <t xml:space="preserve">Able Farm Oat Milk 200 ml </t>
  </si>
  <si>
    <t xml:space="preserve">Able Farm Low Fat 200 ml </t>
  </si>
  <si>
    <t>0639</t>
  </si>
  <si>
    <t>Yobick Yoghurt Original 80ml*5</t>
  </si>
  <si>
    <t>Yobick Yoghurt Strawberry 80ml*5</t>
  </si>
  <si>
    <t>Able Farm 200ml /1L</t>
  </si>
  <si>
    <t>7.8.2026</t>
  </si>
  <si>
    <t>7.7.2026</t>
  </si>
  <si>
    <t>22.8.2026</t>
  </si>
  <si>
    <t>5.4.2026</t>
  </si>
  <si>
    <t>2133</t>
  </si>
  <si>
    <t>10.7.2026</t>
  </si>
  <si>
    <t>15.7.2026</t>
  </si>
  <si>
    <t>15.8.2026</t>
  </si>
  <si>
    <t>1012</t>
  </si>
  <si>
    <t>Able Farm S/C 200ml /Yobick Org &amp; Straw</t>
  </si>
  <si>
    <t>17.7.2026</t>
  </si>
  <si>
    <t>21.7.2026</t>
  </si>
  <si>
    <t>21.8.2026</t>
  </si>
  <si>
    <t>Able Farm L/O 200ml /Yobick 80ml Org&amp;Straw</t>
  </si>
  <si>
    <t>16.7.2026</t>
  </si>
  <si>
    <t>23.7.2026</t>
  </si>
  <si>
    <t>23.8.2026</t>
  </si>
  <si>
    <t xml:space="preserve">Able Farm Low Fat 200ml </t>
  </si>
  <si>
    <t>24.7.2026</t>
  </si>
  <si>
    <t>28.7.2026</t>
  </si>
  <si>
    <t>28.8.2026</t>
  </si>
  <si>
    <t xml:space="preserve">Yobick Original 80ml  </t>
  </si>
  <si>
    <t>14.8.2026</t>
  </si>
  <si>
    <t>14.9.2026</t>
  </si>
  <si>
    <t>Able Farm 200ml /1L/Yobick 180ml</t>
  </si>
  <si>
    <t>19.8.2026</t>
  </si>
  <si>
    <t>19.9.2026</t>
  </si>
  <si>
    <t>Able Farm 1L</t>
  </si>
  <si>
    <t>21.9.2026</t>
  </si>
  <si>
    <t>1171</t>
  </si>
  <si>
    <t>Able Farm1L/Yobick 80ml</t>
  </si>
  <si>
    <t>25.8.2026</t>
  </si>
  <si>
    <t>25.9.2026</t>
  </si>
  <si>
    <t>30.8.2026</t>
  </si>
  <si>
    <t>2.9.2026</t>
  </si>
  <si>
    <t>2.10.2026</t>
  </si>
  <si>
    <t>0658</t>
  </si>
  <si>
    <t>3.9.2026</t>
  </si>
  <si>
    <t>5.9.2026</t>
  </si>
  <si>
    <t>5.10.2026</t>
  </si>
  <si>
    <t>0670</t>
  </si>
  <si>
    <t>Healthy Boy 600ml</t>
  </si>
  <si>
    <t>4.9.2026</t>
  </si>
  <si>
    <t>10.9.2026</t>
  </si>
  <si>
    <t>10.10.2026</t>
  </si>
  <si>
    <t>0680</t>
  </si>
  <si>
    <t>Able Farm Oat/Yobick 80ml</t>
  </si>
  <si>
    <t>16.9.2026</t>
  </si>
  <si>
    <t>16.10.2026</t>
  </si>
  <si>
    <t>0702</t>
  </si>
  <si>
    <t>15.9.2026</t>
  </si>
  <si>
    <t>0703</t>
  </si>
  <si>
    <t>0704</t>
  </si>
  <si>
    <t>Able Farm /Yobick 80ml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</si>
</sst>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Pyidaungsu"/>
      <family val="2"/>
    </font>
    <font>
      <b/>
      <sz val="11"/>
      <color theme="1"/>
      <name val="Pyidaungsu"/>
      <family val="2"/>
    </font>
    <font>
      <sz val="11"/>
      <color theme="1"/>
      <name val="Pyidaungsu"/>
      <family val="2"/>
    </font>
    <font>
      <sz val="8"/>
      <name val="Calibri"/>
      <family val="2"/>
      <scheme val="minor"/>
    </font>
    <font>
      <b/>
      <sz val="11"/>
      <color theme="1"/>
      <name val="Pyidaungsu"/>
      <family val="2"/>
    </font>
    <font>
      <sz val="11"/>
      <color theme="1"/>
      <name val="Pyidaungsu"/>
      <family val="2"/>
    </font>
    <font>
      <sz val="11"/>
      <color theme="1"/>
      <name val="Pyidaungsu"/>
      <family val="2"/>
    </font>
    <font>
      <b/>
      <sz val="11"/>
      <color theme="1"/>
      <name val="Pyidaungsu"/>
      <family val="2"/>
    </font>
    <font>
      <sz val="12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43" fontId="4" fillId="0" borderId="1" xfId="1" applyFont="1" applyBorder="1"/>
    <xf numFmtId="0" fontId="3" fillId="0" borderId="2" xfId="0" applyFont="1" applyBorder="1"/>
    <xf numFmtId="43" fontId="3" fillId="0" borderId="2" xfId="0" applyNumberFormat="1" applyFont="1" applyBorder="1"/>
    <xf numFmtId="0" fontId="4" fillId="0" borderId="1" xfId="0" applyFont="1" applyBorder="1" applyAlignment="1">
      <alignment horizontal="center"/>
    </xf>
    <xf numFmtId="43" fontId="4" fillId="0" borderId="3" xfId="1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2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2" xfId="0" applyFont="1" applyBorder="1"/>
    <xf numFmtId="43" fontId="4" fillId="0" borderId="2" xfId="1" applyFont="1" applyBorder="1"/>
    <xf numFmtId="43" fontId="3" fillId="0" borderId="2" xfId="1" applyFont="1" applyBorder="1"/>
    <xf numFmtId="0" fontId="4" fillId="0" borderId="0" xfId="0" applyFont="1" applyAlignment="1">
      <alignment horizontal="center"/>
    </xf>
    <xf numFmtId="43" fontId="4" fillId="0" borderId="0" xfId="1" applyFont="1"/>
    <xf numFmtId="49" fontId="4" fillId="0" borderId="3" xfId="0" applyNumberFormat="1" applyFont="1" applyBorder="1" applyAlignment="1">
      <alignment horizontal="center"/>
    </xf>
    <xf numFmtId="4" fontId="4" fillId="0" borderId="3" xfId="0" applyNumberFormat="1" applyFont="1" applyBorder="1"/>
    <xf numFmtId="43" fontId="6" fillId="0" borderId="2" xfId="1" applyFont="1" applyBorder="1"/>
    <xf numFmtId="0" fontId="4" fillId="0" borderId="8" xfId="0" applyFont="1" applyBorder="1"/>
    <xf numFmtId="0" fontId="4" fillId="0" borderId="9" xfId="0" applyFont="1" applyBorder="1"/>
    <xf numFmtId="49" fontId="4" fillId="0" borderId="10" xfId="0" applyNumberFormat="1" applyFont="1" applyBorder="1" applyAlignment="1">
      <alignment horizontal="center"/>
    </xf>
    <xf numFmtId="43" fontId="7" fillId="0" borderId="13" xfId="0" applyNumberFormat="1" applyFont="1" applyBorder="1"/>
    <xf numFmtId="43" fontId="6" fillId="0" borderId="7" xfId="1" applyFont="1" applyBorder="1"/>
    <xf numFmtId="164" fontId="4" fillId="0" borderId="3" xfId="1" applyNumberFormat="1" applyFont="1" applyBorder="1"/>
    <xf numFmtId="164" fontId="3" fillId="0" borderId="2" xfId="0" applyNumberFormat="1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/>
    </xf>
    <xf numFmtId="4" fontId="3" fillId="0" borderId="2" xfId="0" applyNumberFormat="1" applyFont="1" applyBorder="1"/>
    <xf numFmtId="49" fontId="9" fillId="0" borderId="2" xfId="0" applyNumberFormat="1" applyFont="1" applyBorder="1" applyAlignment="1">
      <alignment horizontal="center"/>
    </xf>
    <xf numFmtId="0" fontId="4" fillId="0" borderId="5" xfId="0" applyFont="1" applyBorder="1"/>
    <xf numFmtId="0" fontId="11" fillId="0" borderId="8" xfId="0" applyFont="1" applyBorder="1"/>
    <xf numFmtId="0" fontId="11" fillId="0" borderId="3" xfId="0" applyFont="1" applyBorder="1"/>
    <xf numFmtId="43" fontId="11" fillId="0" borderId="3" xfId="1" applyFont="1" applyBorder="1"/>
    <xf numFmtId="0" fontId="11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1" fillId="0" borderId="1" xfId="0" applyFont="1" applyBorder="1"/>
    <xf numFmtId="43" fontId="11" fillId="0" borderId="1" xfId="1" applyFont="1" applyBorder="1"/>
    <xf numFmtId="0" fontId="11" fillId="0" borderId="2" xfId="0" applyFont="1" applyBorder="1" applyAlignment="1">
      <alignment horizontal="center"/>
    </xf>
    <xf numFmtId="49" fontId="12" fillId="0" borderId="2" xfId="0" applyNumberFormat="1" applyFont="1" applyBorder="1" applyAlignment="1">
      <alignment horizontal="center"/>
    </xf>
    <xf numFmtId="0" fontId="11" fillId="0" borderId="5" xfId="0" applyFont="1" applyBorder="1"/>
    <xf numFmtId="0" fontId="11" fillId="0" borderId="2" xfId="0" applyFont="1" applyBorder="1"/>
    <xf numFmtId="43" fontId="11" fillId="0" borderId="2" xfId="1" applyFont="1" applyBorder="1"/>
    <xf numFmtId="43" fontId="12" fillId="0" borderId="2" xfId="1" applyFont="1" applyBorder="1"/>
    <xf numFmtId="0" fontId="12" fillId="0" borderId="2" xfId="0" applyFont="1" applyBorder="1"/>
    <xf numFmtId="3" fontId="12" fillId="0" borderId="2" xfId="0" applyNumberFormat="1" applyFont="1" applyBorder="1"/>
    <xf numFmtId="0" fontId="11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3" fontId="12" fillId="2" borderId="1" xfId="1" applyFont="1" applyFill="1" applyBorder="1" applyAlignment="1">
      <alignment horizontal="center" vertical="center"/>
    </xf>
    <xf numFmtId="43" fontId="12" fillId="2" borderId="1" xfId="0" applyNumberFormat="1" applyFont="1" applyFill="1" applyBorder="1" applyAlignment="1">
      <alignment horizontal="center" vertical="center"/>
    </xf>
    <xf numFmtId="43" fontId="12" fillId="2" borderId="1" xfId="1" applyFont="1" applyFill="1" applyBorder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3" fontId="11" fillId="0" borderId="0" xfId="1" applyFont="1" applyBorder="1" applyAlignment="1">
      <alignment horizontal="center" vertical="center"/>
    </xf>
    <xf numFmtId="43" fontId="11" fillId="0" borderId="0" xfId="0" applyNumberFormat="1" applyFont="1" applyAlignment="1">
      <alignment horizontal="center" vertical="center"/>
    </xf>
    <xf numFmtId="43" fontId="11" fillId="0" borderId="0" xfId="1" applyFont="1" applyBorder="1" applyAlignment="1">
      <alignment vertical="center"/>
    </xf>
    <xf numFmtId="43" fontId="11" fillId="0" borderId="0" xfId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43" fontId="12" fillId="0" borderId="2" xfId="0" applyNumberFormat="1" applyFont="1" applyBorder="1"/>
    <xf numFmtId="43" fontId="10" fillId="0" borderId="0" xfId="1" applyFont="1" applyBorder="1" applyAlignment="1">
      <alignment vertical="center"/>
    </xf>
    <xf numFmtId="43" fontId="10" fillId="0" borderId="0" xfId="0" applyNumberFormat="1" applyFont="1" applyAlignment="1">
      <alignment horizontal="center" vertical="center"/>
    </xf>
    <xf numFmtId="43" fontId="10" fillId="0" borderId="0" xfId="1" applyFont="1" applyBorder="1" applyAlignment="1">
      <alignment horizontal="center" vertical="center"/>
    </xf>
    <xf numFmtId="0" fontId="11" fillId="0" borderId="9" xfId="0" applyFont="1" applyBorder="1"/>
    <xf numFmtId="0" fontId="11" fillId="0" borderId="4" xfId="0" applyFont="1" applyBorder="1" applyAlignment="1">
      <alignment horizontal="center"/>
    </xf>
    <xf numFmtId="49" fontId="12" fillId="0" borderId="4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3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43" fontId="3" fillId="2" borderId="4" xfId="1" applyFont="1" applyFill="1" applyBorder="1" applyAlignment="1">
      <alignment horizontal="center" vertical="center"/>
    </xf>
    <xf numFmtId="43" fontId="3" fillId="2" borderId="3" xfId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9" fontId="11" fillId="0" borderId="0" xfId="0" applyNumberFormat="1" applyFont="1" applyFill="1" applyAlignment="1">
      <alignment horizontal="center"/>
    </xf>
    <xf numFmtId="49" fontId="11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0" xfId="0" quotePrefix="1" applyFont="1" applyFill="1" applyAlignment="1">
      <alignment horizontal="center" vertical="center"/>
    </xf>
    <xf numFmtId="49" fontId="6" fillId="0" borderId="11" xfId="0" applyNumberFormat="1" applyFont="1" applyBorder="1" applyAlignment="1"/>
    <xf numFmtId="49" fontId="6" fillId="0" borderId="12" xfId="0" applyNumberFormat="1" applyFont="1" applyBorder="1" applyAlignment="1"/>
    <xf numFmtId="49" fontId="6" fillId="0" borderId="5" xfId="0" applyNumberFormat="1" applyFont="1" applyBorder="1" applyAlignment="1"/>
    <xf numFmtId="43" fontId="11" fillId="0" borderId="0" xfId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E1" workbookViewId="0">
      <selection activeCell="N16" sqref="N16"/>
    </sheetView>
  </sheetViews>
  <sheetFormatPr defaultColWidth="8.77734375" defaultRowHeight="25.05" customHeight="1"/>
  <cols>
    <col min="1" max="1" width="13.33203125" style="52" customWidth="1"/>
    <col min="2" max="2" width="15.21875" style="52" customWidth="1"/>
    <col min="3" max="3" width="16.77734375" style="52" customWidth="1"/>
    <col min="4" max="4" width="14.88671875" style="52" customWidth="1"/>
    <col min="5" max="5" width="38" style="58" customWidth="1"/>
    <col min="6" max="6" width="20.77734375" style="59" customWidth="1"/>
    <col min="7" max="7" width="16.88671875" style="60" customWidth="1"/>
    <col min="8" max="8" width="20.88671875" style="59" customWidth="1"/>
    <col min="9" max="10" width="8.77734375" style="52"/>
    <col min="11" max="11" width="12.77734375" style="52" bestFit="1" customWidth="1"/>
    <col min="12" max="16384" width="8.77734375" style="52"/>
  </cols>
  <sheetData>
    <row r="1" spans="1:11" ht="40.799999999999997" customHeight="1">
      <c r="A1" s="53" t="s">
        <v>33</v>
      </c>
      <c r="B1" s="53" t="s">
        <v>0</v>
      </c>
      <c r="C1" s="53" t="s">
        <v>1</v>
      </c>
      <c r="D1" s="53" t="s">
        <v>2</v>
      </c>
      <c r="E1" s="53" t="s">
        <v>3</v>
      </c>
      <c r="F1" s="54" t="s">
        <v>19</v>
      </c>
      <c r="G1" s="55" t="s">
        <v>23</v>
      </c>
      <c r="H1" s="56" t="s">
        <v>4</v>
      </c>
      <c r="K1" s="60"/>
    </row>
    <row r="2" spans="1:11" ht="25.05" customHeight="1">
      <c r="B2" s="52" t="s">
        <v>15</v>
      </c>
      <c r="C2" s="57" t="s">
        <v>16</v>
      </c>
      <c r="D2" s="88" t="s">
        <v>17</v>
      </c>
      <c r="E2" s="58" t="s">
        <v>18</v>
      </c>
      <c r="F2" s="59">
        <v>380400</v>
      </c>
      <c r="G2" s="60">
        <f>F2*10%</f>
        <v>38040</v>
      </c>
      <c r="H2" s="59">
        <f>F2-G2</f>
        <v>342360</v>
      </c>
      <c r="K2" s="95"/>
    </row>
    <row r="3" spans="1:11" ht="25.05" customHeight="1">
      <c r="A3" s="52" t="s">
        <v>54</v>
      </c>
      <c r="B3" s="52" t="s">
        <v>55</v>
      </c>
      <c r="C3" s="52" t="s">
        <v>56</v>
      </c>
      <c r="D3" s="90" t="s">
        <v>57</v>
      </c>
      <c r="E3" s="58" t="s">
        <v>58</v>
      </c>
      <c r="F3" s="59">
        <v>494400</v>
      </c>
      <c r="G3" s="60">
        <f t="shared" ref="G3:G9" si="0">F3*10%</f>
        <v>49440</v>
      </c>
      <c r="H3" s="59">
        <f t="shared" ref="H3:H9" si="1">F3-G3</f>
        <v>444960</v>
      </c>
      <c r="K3" s="95"/>
    </row>
    <row r="4" spans="1:11" ht="25.05" customHeight="1">
      <c r="A4" s="52" t="s">
        <v>59</v>
      </c>
      <c r="B4" s="52" t="s">
        <v>60</v>
      </c>
      <c r="C4" s="52" t="s">
        <v>61</v>
      </c>
      <c r="D4" s="90">
        <v>1023</v>
      </c>
      <c r="E4" s="58" t="s">
        <v>62</v>
      </c>
      <c r="F4" s="61">
        <v>310560</v>
      </c>
      <c r="G4" s="60">
        <f t="shared" si="0"/>
        <v>31056</v>
      </c>
      <c r="H4" s="59">
        <f t="shared" si="1"/>
        <v>279504</v>
      </c>
      <c r="K4" s="95"/>
    </row>
    <row r="5" spans="1:11" ht="25.05" customHeight="1">
      <c r="A5" s="52" t="s">
        <v>63</v>
      </c>
      <c r="B5" s="52" t="s">
        <v>64</v>
      </c>
      <c r="C5" s="52" t="s">
        <v>65</v>
      </c>
      <c r="D5" s="90">
        <v>1037</v>
      </c>
      <c r="E5" s="58" t="s">
        <v>66</v>
      </c>
      <c r="F5" s="61">
        <v>345600</v>
      </c>
      <c r="G5" s="60">
        <f t="shared" si="0"/>
        <v>34560</v>
      </c>
      <c r="H5" s="59">
        <f t="shared" si="1"/>
        <v>311040</v>
      </c>
      <c r="K5" s="95"/>
    </row>
    <row r="6" spans="1:11" ht="25.05" customHeight="1">
      <c r="A6" s="52" t="s">
        <v>67</v>
      </c>
      <c r="B6" s="52" t="s">
        <v>68</v>
      </c>
      <c r="C6" s="52" t="s">
        <v>69</v>
      </c>
      <c r="D6" s="90">
        <v>1102</v>
      </c>
      <c r="E6" s="58" t="s">
        <v>70</v>
      </c>
      <c r="F6" s="59">
        <v>24000</v>
      </c>
      <c r="G6" s="60">
        <f t="shared" si="0"/>
        <v>2400</v>
      </c>
      <c r="H6" s="59">
        <f t="shared" si="1"/>
        <v>21600</v>
      </c>
      <c r="K6" s="95"/>
    </row>
    <row r="7" spans="1:11" ht="25.05" customHeight="1">
      <c r="A7" s="52" t="s">
        <v>49</v>
      </c>
      <c r="B7" s="52" t="s">
        <v>71</v>
      </c>
      <c r="C7" s="52" t="s">
        <v>72</v>
      </c>
      <c r="D7" s="90">
        <v>1158</v>
      </c>
      <c r="E7" s="58" t="s">
        <v>73</v>
      </c>
      <c r="F7" s="59">
        <v>336960</v>
      </c>
      <c r="G7" s="60">
        <f t="shared" si="0"/>
        <v>33696</v>
      </c>
      <c r="H7" s="59">
        <f t="shared" si="1"/>
        <v>303264</v>
      </c>
      <c r="K7" s="95"/>
    </row>
    <row r="8" spans="1:11" ht="25.05" customHeight="1">
      <c r="A8" s="52" t="s">
        <v>71</v>
      </c>
      <c r="B8" s="52" t="s">
        <v>74</v>
      </c>
      <c r="C8" s="52" t="s">
        <v>75</v>
      </c>
      <c r="D8" s="90">
        <v>1166</v>
      </c>
      <c r="E8" s="58" t="s">
        <v>76</v>
      </c>
      <c r="F8" s="61">
        <v>85440</v>
      </c>
      <c r="G8" s="60">
        <f t="shared" si="0"/>
        <v>8544</v>
      </c>
      <c r="H8" s="59">
        <f t="shared" si="1"/>
        <v>76896</v>
      </c>
      <c r="K8" s="95"/>
    </row>
    <row r="9" spans="1:11" ht="25.05" customHeight="1">
      <c r="A9" s="52" t="s">
        <v>71</v>
      </c>
      <c r="B9" s="52" t="s">
        <v>74</v>
      </c>
      <c r="C9" s="52" t="s">
        <v>75</v>
      </c>
      <c r="D9" s="90">
        <v>1168</v>
      </c>
      <c r="E9" s="58" t="s">
        <v>48</v>
      </c>
      <c r="F9" s="59">
        <v>437280</v>
      </c>
      <c r="G9" s="60">
        <f t="shared" si="0"/>
        <v>43728</v>
      </c>
      <c r="H9" s="59">
        <f t="shared" si="1"/>
        <v>393552</v>
      </c>
      <c r="K9" s="95"/>
    </row>
    <row r="10" spans="1:11" ht="25.05" customHeight="1">
      <c r="A10" s="52" t="s">
        <v>74</v>
      </c>
      <c r="B10" s="52" t="s">
        <v>61</v>
      </c>
      <c r="C10" s="52" t="s">
        <v>77</v>
      </c>
      <c r="D10" s="89" t="s">
        <v>78</v>
      </c>
      <c r="E10" s="58" t="s">
        <v>79</v>
      </c>
      <c r="F10" s="61">
        <v>229440</v>
      </c>
      <c r="H10" s="59">
        <v>1147200</v>
      </c>
      <c r="K10" s="95"/>
    </row>
    <row r="11" spans="1:11" ht="25.05" customHeight="1">
      <c r="A11" s="52" t="s">
        <v>51</v>
      </c>
      <c r="B11" s="52" t="s">
        <v>80</v>
      </c>
      <c r="C11" s="52" t="s">
        <v>81</v>
      </c>
      <c r="D11" s="90">
        <v>1176</v>
      </c>
      <c r="E11" s="58" t="s">
        <v>76</v>
      </c>
      <c r="F11" s="61">
        <v>34560</v>
      </c>
      <c r="H11" s="59">
        <v>172800</v>
      </c>
      <c r="K11" s="95"/>
    </row>
    <row r="12" spans="1:11" ht="25.05" customHeight="1">
      <c r="A12" s="52" t="s">
        <v>82</v>
      </c>
      <c r="B12" s="52" t="s">
        <v>83</v>
      </c>
      <c r="C12" s="52" t="s">
        <v>84</v>
      </c>
      <c r="D12" s="91" t="s">
        <v>85</v>
      </c>
      <c r="E12" s="58" t="s">
        <v>79</v>
      </c>
      <c r="F12" s="61">
        <v>883680</v>
      </c>
      <c r="H12" s="59">
        <v>4418400</v>
      </c>
      <c r="K12" s="95"/>
    </row>
    <row r="13" spans="1:11" ht="25.05" customHeight="1">
      <c r="A13" s="52" t="s">
        <v>86</v>
      </c>
      <c r="B13" s="52" t="s">
        <v>87</v>
      </c>
      <c r="C13" s="52" t="s">
        <v>88</v>
      </c>
      <c r="D13" s="89" t="s">
        <v>89</v>
      </c>
      <c r="E13" s="58" t="s">
        <v>90</v>
      </c>
      <c r="F13" s="60">
        <v>21120</v>
      </c>
      <c r="H13" s="62">
        <v>105600</v>
      </c>
      <c r="K13" s="95"/>
    </row>
    <row r="14" spans="1:11" ht="25.05" customHeight="1">
      <c r="A14" s="52" t="s">
        <v>91</v>
      </c>
      <c r="B14" s="52" t="s">
        <v>92</v>
      </c>
      <c r="C14" s="52" t="s">
        <v>93</v>
      </c>
      <c r="D14" s="89" t="s">
        <v>94</v>
      </c>
      <c r="E14" s="58" t="s">
        <v>95</v>
      </c>
      <c r="F14" s="65">
        <v>202560</v>
      </c>
      <c r="G14" s="66"/>
      <c r="H14" s="67">
        <v>1012800</v>
      </c>
      <c r="K14" s="95"/>
    </row>
    <row r="15" spans="1:11" ht="25.05" customHeight="1">
      <c r="A15" s="52" t="s">
        <v>72</v>
      </c>
      <c r="B15" s="52" t="s">
        <v>96</v>
      </c>
      <c r="C15" s="52" t="s">
        <v>97</v>
      </c>
      <c r="D15" s="91" t="s">
        <v>98</v>
      </c>
      <c r="E15" s="58" t="s">
        <v>102</v>
      </c>
      <c r="F15" s="61">
        <v>431520</v>
      </c>
      <c r="H15" s="59">
        <v>2157600</v>
      </c>
      <c r="K15" s="95"/>
    </row>
    <row r="16" spans="1:11" ht="25.05" customHeight="1">
      <c r="A16" s="52" t="s">
        <v>99</v>
      </c>
      <c r="B16" s="52" t="s">
        <v>96</v>
      </c>
      <c r="C16" s="52" t="s">
        <v>97</v>
      </c>
      <c r="D16" s="91" t="s">
        <v>100</v>
      </c>
      <c r="E16" s="58" t="s">
        <v>102</v>
      </c>
      <c r="F16" s="61">
        <v>2722080</v>
      </c>
      <c r="H16" s="59">
        <v>13610400</v>
      </c>
      <c r="K16" s="95"/>
    </row>
    <row r="17" spans="1:11" ht="25.05" customHeight="1">
      <c r="A17" s="52" t="s">
        <v>99</v>
      </c>
      <c r="B17" s="52" t="s">
        <v>96</v>
      </c>
      <c r="C17" s="52" t="s">
        <v>97</v>
      </c>
      <c r="D17" s="91" t="s">
        <v>101</v>
      </c>
      <c r="E17" s="58" t="s">
        <v>66</v>
      </c>
      <c r="F17" s="61">
        <v>17280</v>
      </c>
      <c r="H17" s="59">
        <v>86400</v>
      </c>
      <c r="K17" s="9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0BDF-6A68-4F34-BC72-DE7C2F5FE73F}">
  <dimension ref="A1:K38"/>
  <sheetViews>
    <sheetView workbookViewId="0">
      <pane xSplit="4" ySplit="2" topLeftCell="E30" activePane="bottomRight" state="frozen"/>
      <selection pane="topRight" activeCell="E1" sqref="E1"/>
      <selection pane="bottomLeft" activeCell="A3" sqref="A3"/>
      <selection pane="bottomRight" activeCell="I29" sqref="I29"/>
    </sheetView>
  </sheetViews>
  <sheetFormatPr defaultColWidth="8.88671875" defaultRowHeight="25.05" customHeight="1"/>
  <cols>
    <col min="1" max="1" width="10.77734375" style="18" customWidth="1"/>
    <col min="2" max="2" width="12.109375" style="18" customWidth="1"/>
    <col min="3" max="3" width="15.88671875" style="18" customWidth="1"/>
    <col min="4" max="4" width="12.21875" style="25" customWidth="1"/>
    <col min="5" max="5" width="42.77734375" style="3" customWidth="1"/>
    <col min="6" max="6" width="8.88671875" style="3" customWidth="1"/>
    <col min="7" max="7" width="8.88671875" style="3"/>
    <col min="8" max="8" width="11.6640625" style="19" customWidth="1"/>
    <col min="9" max="9" width="20.109375" style="19" customWidth="1"/>
    <col min="10" max="10" width="19.44140625" style="3" customWidth="1"/>
    <col min="11" max="11" width="17.88671875" style="3" customWidth="1"/>
    <col min="12" max="16384" width="8.88671875" style="3"/>
  </cols>
  <sheetData>
    <row r="1" spans="1:11" ht="25.05" customHeight="1">
      <c r="A1" s="77" t="s">
        <v>5</v>
      </c>
      <c r="B1" s="77" t="s">
        <v>6</v>
      </c>
      <c r="C1" s="79" t="s">
        <v>7</v>
      </c>
      <c r="D1" s="80" t="s">
        <v>2</v>
      </c>
      <c r="E1" s="82" t="s">
        <v>8</v>
      </c>
      <c r="F1" s="84" t="s">
        <v>9</v>
      </c>
      <c r="G1" s="84"/>
      <c r="H1" s="75" t="s">
        <v>10</v>
      </c>
      <c r="I1" s="75" t="s">
        <v>11</v>
      </c>
      <c r="J1" s="77" t="s">
        <v>22</v>
      </c>
      <c r="K1" s="77" t="s">
        <v>12</v>
      </c>
    </row>
    <row r="2" spans="1:11" ht="25.05" customHeight="1">
      <c r="A2" s="78"/>
      <c r="B2" s="78"/>
      <c r="C2" s="78"/>
      <c r="D2" s="81"/>
      <c r="E2" s="83"/>
      <c r="F2" s="4" t="s">
        <v>13</v>
      </c>
      <c r="G2" s="4" t="s">
        <v>14</v>
      </c>
      <c r="H2" s="76"/>
      <c r="I2" s="76"/>
      <c r="J2" s="78"/>
      <c r="K2" s="78"/>
    </row>
    <row r="3" spans="1:11" ht="25.05" customHeight="1">
      <c r="A3" s="9" t="s">
        <v>24</v>
      </c>
      <c r="B3" s="9" t="s">
        <v>25</v>
      </c>
      <c r="C3" s="9" t="s">
        <v>26</v>
      </c>
      <c r="D3" s="14" t="s">
        <v>27</v>
      </c>
      <c r="E3" s="23" t="s">
        <v>20</v>
      </c>
      <c r="F3" s="5">
        <v>96</v>
      </c>
      <c r="G3" s="5"/>
      <c r="H3" s="6">
        <v>2000</v>
      </c>
      <c r="I3" s="6">
        <f>H3*F3</f>
        <v>192000</v>
      </c>
      <c r="J3" s="5"/>
      <c r="K3" s="6">
        <f>F3*H3</f>
        <v>192000</v>
      </c>
    </row>
    <row r="4" spans="1:11" ht="25.05" customHeight="1">
      <c r="A4" s="9"/>
      <c r="B4" s="9"/>
      <c r="C4" s="9"/>
      <c r="D4" s="14"/>
      <c r="E4" s="23" t="s">
        <v>21</v>
      </c>
      <c r="F4" s="5">
        <v>96</v>
      </c>
      <c r="G4" s="5"/>
      <c r="H4" s="6">
        <v>2000</v>
      </c>
      <c r="I4" s="6">
        <f>H4*F4</f>
        <v>192000</v>
      </c>
      <c r="J4" s="5"/>
      <c r="K4" s="6">
        <f>F4*H4</f>
        <v>192000</v>
      </c>
    </row>
    <row r="5" spans="1:11" ht="25.05" customHeight="1" thickBot="1">
      <c r="A5" s="74" t="s">
        <v>11</v>
      </c>
      <c r="B5" s="74"/>
      <c r="C5" s="74"/>
      <c r="D5" s="74"/>
      <c r="E5" s="74"/>
      <c r="F5" s="15"/>
      <c r="G5" s="15"/>
      <c r="H5" s="16">
        <v>0</v>
      </c>
      <c r="I5" s="17">
        <f>SUM(I3:I4)</f>
        <v>384000</v>
      </c>
      <c r="J5" s="7"/>
      <c r="K5" s="8">
        <f>SUM(K3:K4)</f>
        <v>384000</v>
      </c>
    </row>
    <row r="6" spans="1:11" ht="25.05" customHeight="1" thickTop="1">
      <c r="A6" s="9" t="s">
        <v>34</v>
      </c>
      <c r="B6" s="9" t="s">
        <v>35</v>
      </c>
      <c r="C6" s="9" t="s">
        <v>37</v>
      </c>
      <c r="D6" s="14" t="s">
        <v>36</v>
      </c>
      <c r="E6" s="23" t="s">
        <v>21</v>
      </c>
      <c r="F6" s="5">
        <v>66</v>
      </c>
      <c r="G6" s="5"/>
      <c r="H6" s="6">
        <v>2000</v>
      </c>
      <c r="I6" s="6">
        <f>F6*H6</f>
        <v>132000</v>
      </c>
      <c r="J6" s="5"/>
      <c r="K6" s="26">
        <v>660000</v>
      </c>
    </row>
    <row r="7" spans="1:11" ht="25.05" customHeight="1" thickBot="1">
      <c r="A7" s="92" t="s">
        <v>11</v>
      </c>
      <c r="B7" s="93"/>
      <c r="C7" s="93"/>
      <c r="D7" s="93"/>
      <c r="E7" s="93"/>
      <c r="F7" s="93"/>
      <c r="G7" s="93"/>
      <c r="H7" s="94">
        <v>0</v>
      </c>
      <c r="I7" s="22">
        <f>SUM(I6:I6)</f>
        <v>132000</v>
      </c>
      <c r="J7" s="15"/>
      <c r="K7" s="27">
        <f>SUM(K6:K6)</f>
        <v>660000</v>
      </c>
    </row>
    <row r="8" spans="1:11" ht="25.05" customHeight="1" thickTop="1">
      <c r="A8" s="30" t="s">
        <v>38</v>
      </c>
      <c r="B8" s="31" t="s">
        <v>39</v>
      </c>
      <c r="C8" s="31" t="s">
        <v>40</v>
      </c>
      <c r="D8" s="32" t="s">
        <v>41</v>
      </c>
      <c r="E8" s="24" t="s">
        <v>42</v>
      </c>
      <c r="F8" s="12">
        <v>240</v>
      </c>
      <c r="G8" s="12"/>
      <c r="H8" s="10">
        <v>720</v>
      </c>
      <c r="I8" s="6">
        <f>F8*H8</f>
        <v>172800</v>
      </c>
      <c r="J8" s="5"/>
      <c r="K8" s="6">
        <v>864000</v>
      </c>
    </row>
    <row r="9" spans="1:11" ht="25.05" customHeight="1">
      <c r="A9" s="9"/>
      <c r="B9" s="9"/>
      <c r="C9" s="9"/>
      <c r="D9" s="14"/>
      <c r="E9" s="23" t="s">
        <v>43</v>
      </c>
      <c r="F9" s="5">
        <v>240</v>
      </c>
      <c r="G9" s="5"/>
      <c r="H9" s="6">
        <v>720</v>
      </c>
      <c r="I9" s="6">
        <f t="shared" ref="I9:I13" si="0">F9*H9</f>
        <v>172800</v>
      </c>
      <c r="J9" s="5"/>
      <c r="K9" s="6">
        <v>864000</v>
      </c>
    </row>
    <row r="10" spans="1:11" ht="25.05" customHeight="1">
      <c r="A10" s="9"/>
      <c r="B10" s="9"/>
      <c r="C10" s="9"/>
      <c r="D10" s="14"/>
      <c r="E10" s="23" t="s">
        <v>31</v>
      </c>
      <c r="F10" s="5">
        <v>240</v>
      </c>
      <c r="G10" s="5"/>
      <c r="H10" s="6">
        <v>720</v>
      </c>
      <c r="I10" s="6">
        <f t="shared" si="0"/>
        <v>172800</v>
      </c>
      <c r="J10" s="5"/>
      <c r="K10" s="6">
        <v>864000</v>
      </c>
    </row>
    <row r="11" spans="1:11" ht="25.05" customHeight="1">
      <c r="A11" s="9"/>
      <c r="B11" s="9"/>
      <c r="C11" s="9"/>
      <c r="D11" s="14"/>
      <c r="E11" s="24" t="s">
        <v>44</v>
      </c>
      <c r="F11" s="5">
        <v>240</v>
      </c>
      <c r="G11" s="5"/>
      <c r="H11" s="6">
        <v>720</v>
      </c>
      <c r="I11" s="6">
        <f t="shared" si="0"/>
        <v>172800</v>
      </c>
      <c r="J11" s="5"/>
      <c r="K11" s="6">
        <v>864000</v>
      </c>
    </row>
    <row r="12" spans="1:11" ht="25.05" customHeight="1">
      <c r="A12" s="9"/>
      <c r="B12" s="9"/>
      <c r="C12" s="9"/>
      <c r="D12" s="14"/>
      <c r="E12" s="23" t="s">
        <v>28</v>
      </c>
      <c r="F12" s="5">
        <v>240</v>
      </c>
      <c r="G12" s="5"/>
      <c r="H12" s="6">
        <v>720</v>
      </c>
      <c r="I12" s="6">
        <f t="shared" si="0"/>
        <v>172800</v>
      </c>
      <c r="J12" s="5"/>
      <c r="K12" s="6">
        <v>864000</v>
      </c>
    </row>
    <row r="13" spans="1:11" ht="25.05" customHeight="1">
      <c r="A13" s="9"/>
      <c r="B13" s="9"/>
      <c r="C13" s="9"/>
      <c r="D13" s="14"/>
      <c r="E13" s="23" t="s">
        <v>29</v>
      </c>
      <c r="F13" s="5">
        <v>240</v>
      </c>
      <c r="G13" s="5"/>
      <c r="H13" s="6">
        <v>3560</v>
      </c>
      <c r="I13" s="6">
        <f t="shared" si="0"/>
        <v>854400</v>
      </c>
      <c r="J13" s="5"/>
      <c r="K13" s="6">
        <v>4272000</v>
      </c>
    </row>
    <row r="14" spans="1:11" ht="25.05" customHeight="1" thickBot="1">
      <c r="A14" s="85" t="s">
        <v>32</v>
      </c>
      <c r="B14" s="86"/>
      <c r="C14" s="86"/>
      <c r="D14" s="86"/>
      <c r="E14" s="86"/>
      <c r="F14" s="86"/>
      <c r="G14" s="87"/>
      <c r="H14" s="16">
        <v>0</v>
      </c>
      <c r="I14" s="17">
        <f>SUM(I8:I13)</f>
        <v>1718400</v>
      </c>
      <c r="J14" s="15"/>
      <c r="K14" s="17">
        <f>SUM(K8:K13)</f>
        <v>8592000</v>
      </c>
    </row>
    <row r="15" spans="1:11" ht="25.05" customHeight="1" thickTop="1">
      <c r="A15" s="11" t="s">
        <v>38</v>
      </c>
      <c r="B15" s="11" t="s">
        <v>39</v>
      </c>
      <c r="C15" s="2" t="s">
        <v>40</v>
      </c>
      <c r="D15" s="20" t="s">
        <v>45</v>
      </c>
      <c r="E15" s="23" t="s">
        <v>46</v>
      </c>
      <c r="F15" s="5">
        <v>24</v>
      </c>
      <c r="G15" s="5"/>
      <c r="H15" s="6">
        <v>2000</v>
      </c>
      <c r="I15" s="6">
        <f>F15*H15</f>
        <v>48000</v>
      </c>
      <c r="J15" s="12"/>
      <c r="K15" s="21">
        <v>240000</v>
      </c>
    </row>
    <row r="16" spans="1:11" ht="25.05" customHeight="1">
      <c r="A16" s="9"/>
      <c r="B16" s="9"/>
      <c r="C16" s="9"/>
      <c r="D16" s="33"/>
      <c r="E16" s="23" t="s">
        <v>47</v>
      </c>
      <c r="F16" s="5">
        <v>24</v>
      </c>
      <c r="G16" s="5"/>
      <c r="H16" s="6">
        <v>2000</v>
      </c>
      <c r="I16" s="6">
        <f>F16*H16</f>
        <v>48000</v>
      </c>
      <c r="J16" s="5"/>
      <c r="K16" s="21">
        <v>240000</v>
      </c>
    </row>
    <row r="17" spans="1:11" ht="25.05" customHeight="1" thickBot="1">
      <c r="A17" s="85" t="s">
        <v>32</v>
      </c>
      <c r="B17" s="86"/>
      <c r="C17" s="86"/>
      <c r="D17" s="86"/>
      <c r="E17" s="86"/>
      <c r="F17" s="86"/>
      <c r="G17" s="87"/>
      <c r="H17" s="17">
        <v>0</v>
      </c>
      <c r="I17" s="17">
        <f t="shared" ref="I17" si="1">SUM(I15:I16)</f>
        <v>96000</v>
      </c>
      <c r="J17" s="15"/>
      <c r="K17" s="34">
        <f>SUM(K15:K16)</f>
        <v>480000</v>
      </c>
    </row>
    <row r="18" spans="1:11" ht="25.05" customHeight="1" thickTop="1">
      <c r="A18" s="9" t="s">
        <v>52</v>
      </c>
      <c r="B18" s="9" t="s">
        <v>50</v>
      </c>
      <c r="C18" s="9" t="s">
        <v>51</v>
      </c>
      <c r="D18" s="20" t="s">
        <v>53</v>
      </c>
      <c r="E18" s="24" t="s">
        <v>44</v>
      </c>
      <c r="F18" s="12">
        <v>1</v>
      </c>
      <c r="G18" s="12"/>
      <c r="H18" s="10">
        <v>720</v>
      </c>
      <c r="I18" s="10">
        <f>H18*F18</f>
        <v>720</v>
      </c>
      <c r="J18" s="12"/>
      <c r="K18" s="28">
        <f>H18*F18</f>
        <v>720</v>
      </c>
    </row>
    <row r="19" spans="1:11" ht="25.05" customHeight="1">
      <c r="A19" s="9"/>
      <c r="B19" s="9"/>
      <c r="C19" s="9"/>
      <c r="D19" s="14"/>
      <c r="E19" s="23" t="s">
        <v>30</v>
      </c>
      <c r="F19" s="5">
        <v>3</v>
      </c>
      <c r="G19" s="5"/>
      <c r="H19" s="6">
        <v>720</v>
      </c>
      <c r="I19" s="10">
        <f t="shared" ref="I19" si="2">H19*F19</f>
        <v>2160</v>
      </c>
      <c r="J19" s="5"/>
      <c r="K19" s="28">
        <f t="shared" ref="K19" si="3">H19*F19</f>
        <v>2160</v>
      </c>
    </row>
    <row r="20" spans="1:11" ht="25.05" customHeight="1" thickBot="1">
      <c r="A20" s="85" t="s">
        <v>32</v>
      </c>
      <c r="B20" s="86"/>
      <c r="C20" s="86"/>
      <c r="D20" s="86"/>
      <c r="E20" s="86"/>
      <c r="F20" s="86"/>
      <c r="G20" s="87"/>
      <c r="H20" s="16">
        <v>0</v>
      </c>
      <c r="I20" s="16"/>
      <c r="J20" s="15"/>
      <c r="K20" s="29">
        <f>SUM(K18:K19)</f>
        <v>2880</v>
      </c>
    </row>
    <row r="21" spans="1:11" ht="25.05" customHeight="1" thickTop="1">
      <c r="A21" s="11" t="s">
        <v>54</v>
      </c>
      <c r="B21" s="11" t="s">
        <v>55</v>
      </c>
      <c r="C21" s="11" t="s">
        <v>56</v>
      </c>
      <c r="D21" s="20" t="s">
        <v>57</v>
      </c>
      <c r="E21" s="23" t="s">
        <v>31</v>
      </c>
      <c r="F21" s="5">
        <v>72</v>
      </c>
      <c r="G21" s="5"/>
      <c r="H21" s="6">
        <v>720</v>
      </c>
      <c r="I21" s="10">
        <f t="shared" ref="I21:I22" si="4">F21*H21</f>
        <v>51840</v>
      </c>
      <c r="J21" s="5"/>
      <c r="K21" s="10">
        <f t="shared" ref="K21:K22" si="5">H21*F21</f>
        <v>51840</v>
      </c>
    </row>
    <row r="22" spans="1:11" ht="25.05" customHeight="1">
      <c r="A22" s="9"/>
      <c r="B22" s="9"/>
      <c r="C22" s="9"/>
      <c r="D22" s="14"/>
      <c r="E22" s="23" t="s">
        <v>28</v>
      </c>
      <c r="F22" s="5">
        <v>48</v>
      </c>
      <c r="G22" s="5"/>
      <c r="H22" s="6">
        <v>720</v>
      </c>
      <c r="I22" s="10">
        <f t="shared" si="4"/>
        <v>34560</v>
      </c>
      <c r="J22" s="5"/>
      <c r="K22" s="10">
        <f t="shared" si="5"/>
        <v>34560</v>
      </c>
    </row>
    <row r="23" spans="1:11" ht="25.05" customHeight="1">
      <c r="A23" s="9"/>
      <c r="B23" s="9"/>
      <c r="C23" s="9"/>
      <c r="D23" s="14"/>
      <c r="E23" s="23" t="s">
        <v>46</v>
      </c>
      <c r="F23" s="12">
        <v>132</v>
      </c>
      <c r="G23" s="12"/>
      <c r="H23" s="10">
        <v>2000</v>
      </c>
      <c r="I23" s="10">
        <f>F23*H23</f>
        <v>264000</v>
      </c>
      <c r="J23" s="12"/>
      <c r="K23" s="10">
        <f>H23*F23</f>
        <v>264000</v>
      </c>
    </row>
    <row r="24" spans="1:11" ht="25.05" customHeight="1">
      <c r="A24" s="9"/>
      <c r="B24" s="9"/>
      <c r="C24" s="9"/>
      <c r="D24" s="14"/>
      <c r="E24" s="23" t="s">
        <v>47</v>
      </c>
      <c r="F24" s="12">
        <v>132</v>
      </c>
      <c r="G24" s="12"/>
      <c r="H24" s="10">
        <v>2000</v>
      </c>
      <c r="I24" s="10">
        <f>F24*H24</f>
        <v>264000</v>
      </c>
      <c r="J24" s="12"/>
      <c r="K24" s="10">
        <f>H24*F24</f>
        <v>264000</v>
      </c>
    </row>
    <row r="25" spans="1:11" ht="25.05" customHeight="1" thickBot="1">
      <c r="A25" s="13"/>
      <c r="B25" s="13"/>
      <c r="C25" s="13"/>
      <c r="D25" s="35" t="s">
        <v>11</v>
      </c>
      <c r="E25" s="36"/>
      <c r="F25" s="15"/>
      <c r="G25" s="15"/>
      <c r="H25" s="16">
        <v>0</v>
      </c>
      <c r="I25" s="17">
        <f t="shared" ref="I25:K25" si="6">SUM(I21:I24)</f>
        <v>614400</v>
      </c>
      <c r="J25" s="8"/>
      <c r="K25" s="8">
        <f t="shared" si="6"/>
        <v>614400</v>
      </c>
    </row>
    <row r="26" spans="1:11" ht="25.05" customHeight="1" thickTop="1">
      <c r="A26" s="1" t="s">
        <v>59</v>
      </c>
      <c r="B26" s="1" t="s">
        <v>60</v>
      </c>
      <c r="C26" s="1" t="s">
        <v>61</v>
      </c>
      <c r="D26" s="1">
        <v>1023</v>
      </c>
      <c r="E26" s="24" t="s">
        <v>44</v>
      </c>
      <c r="F26" s="5">
        <v>24</v>
      </c>
      <c r="G26" s="5"/>
      <c r="H26" s="6">
        <v>720</v>
      </c>
      <c r="I26" s="10">
        <f t="shared" ref="I26:I27" si="7">F26*H26</f>
        <v>17280</v>
      </c>
      <c r="J26" s="5"/>
      <c r="K26" s="10">
        <f t="shared" ref="K26:K27" si="8">H26*F26</f>
        <v>17280</v>
      </c>
    </row>
    <row r="27" spans="1:11" ht="25.05" customHeight="1">
      <c r="A27" s="9"/>
      <c r="B27" s="9"/>
      <c r="C27" s="9"/>
      <c r="D27" s="14"/>
      <c r="E27" s="23" t="s">
        <v>43</v>
      </c>
      <c r="F27" s="5">
        <v>24</v>
      </c>
      <c r="G27" s="5"/>
      <c r="H27" s="6">
        <v>720</v>
      </c>
      <c r="I27" s="10">
        <f t="shared" si="7"/>
        <v>17280</v>
      </c>
      <c r="J27" s="5"/>
      <c r="K27" s="10">
        <f t="shared" si="8"/>
        <v>17280</v>
      </c>
    </row>
    <row r="28" spans="1:11" ht="25.05" customHeight="1">
      <c r="A28" s="9"/>
      <c r="B28" s="9"/>
      <c r="C28" s="9"/>
      <c r="D28" s="14"/>
      <c r="E28" s="23" t="s">
        <v>47</v>
      </c>
      <c r="F28" s="12">
        <v>78</v>
      </c>
      <c r="G28" s="12"/>
      <c r="H28" s="10">
        <v>2000</v>
      </c>
      <c r="I28" s="10">
        <f>F28*H28</f>
        <v>156000</v>
      </c>
      <c r="J28" s="12"/>
      <c r="K28" s="10">
        <f>H28*F28</f>
        <v>156000</v>
      </c>
    </row>
    <row r="29" spans="1:11" ht="25.05" customHeight="1">
      <c r="A29" s="9"/>
      <c r="B29" s="9"/>
      <c r="C29" s="9"/>
      <c r="D29" s="14"/>
      <c r="E29" s="23" t="s">
        <v>46</v>
      </c>
      <c r="F29" s="12">
        <v>60</v>
      </c>
      <c r="G29" s="12"/>
      <c r="H29" s="10">
        <v>2000</v>
      </c>
      <c r="I29" s="10">
        <f>F29*H29</f>
        <v>120000</v>
      </c>
      <c r="J29" s="12"/>
      <c r="K29" s="10">
        <f>H29*F29</f>
        <v>120000</v>
      </c>
    </row>
    <row r="30" spans="1:11" ht="25.05" customHeight="1" thickBot="1">
      <c r="A30" s="13"/>
      <c r="B30" s="13"/>
      <c r="C30" s="13"/>
      <c r="D30" s="35" t="s">
        <v>11</v>
      </c>
      <c r="E30" s="36"/>
      <c r="F30" s="15"/>
      <c r="G30" s="15"/>
      <c r="H30" s="16">
        <v>0</v>
      </c>
      <c r="I30" s="17">
        <f t="shared" ref="I30:K30" si="9">SUM(I26:I29)</f>
        <v>310560</v>
      </c>
      <c r="J30" s="8"/>
      <c r="K30" s="8">
        <f t="shared" si="9"/>
        <v>310560</v>
      </c>
    </row>
    <row r="31" spans="1:11" ht="25.05" customHeight="1" thickTop="1">
      <c r="A31" s="63" t="s">
        <v>99</v>
      </c>
      <c r="B31" s="63" t="s">
        <v>96</v>
      </c>
      <c r="C31" s="63" t="s">
        <v>97</v>
      </c>
      <c r="D31" s="73" t="s">
        <v>100</v>
      </c>
      <c r="E31" s="68" t="s">
        <v>44</v>
      </c>
      <c r="F31" s="38">
        <v>960</v>
      </c>
      <c r="G31" s="38"/>
      <c r="H31" s="39">
        <v>720</v>
      </c>
      <c r="I31" s="39">
        <f t="shared" ref="I31:I34" si="10">F31*H31</f>
        <v>691200</v>
      </c>
      <c r="J31" s="38"/>
      <c r="K31" s="39">
        <f t="shared" ref="K31:K34" si="11">H31*F31</f>
        <v>691200</v>
      </c>
    </row>
    <row r="32" spans="1:11" ht="25.05" customHeight="1">
      <c r="A32" s="40"/>
      <c r="B32" s="40"/>
      <c r="C32" s="40"/>
      <c r="D32" s="41"/>
      <c r="E32" s="37" t="s">
        <v>43</v>
      </c>
      <c r="F32" s="42">
        <v>804</v>
      </c>
      <c r="G32" s="42"/>
      <c r="H32" s="43">
        <v>720</v>
      </c>
      <c r="I32" s="39">
        <f t="shared" si="10"/>
        <v>578880</v>
      </c>
      <c r="J32" s="42"/>
      <c r="K32" s="39">
        <f t="shared" si="11"/>
        <v>578880</v>
      </c>
    </row>
    <row r="33" spans="1:11" ht="25.05" customHeight="1">
      <c r="A33" s="40"/>
      <c r="B33" s="40"/>
      <c r="C33" s="40"/>
      <c r="D33" s="41"/>
      <c r="E33" s="37" t="s">
        <v>47</v>
      </c>
      <c r="F33" s="38">
        <v>363</v>
      </c>
      <c r="G33" s="38"/>
      <c r="H33" s="39">
        <v>2000</v>
      </c>
      <c r="I33" s="39">
        <f t="shared" si="10"/>
        <v>726000</v>
      </c>
      <c r="J33" s="38"/>
      <c r="K33" s="39">
        <f t="shared" si="11"/>
        <v>726000</v>
      </c>
    </row>
    <row r="34" spans="1:11" ht="25.05" customHeight="1">
      <c r="A34" s="40"/>
      <c r="B34" s="40"/>
      <c r="C34" s="40"/>
      <c r="D34" s="41"/>
      <c r="E34" s="37" t="s">
        <v>46</v>
      </c>
      <c r="F34" s="38">
        <v>363</v>
      </c>
      <c r="G34" s="38"/>
      <c r="H34" s="39">
        <v>2000</v>
      </c>
      <c r="I34" s="39">
        <f t="shared" si="10"/>
        <v>726000</v>
      </c>
      <c r="J34" s="38"/>
      <c r="K34" s="39">
        <f t="shared" si="11"/>
        <v>726000</v>
      </c>
    </row>
    <row r="35" spans="1:11" ht="25.05" customHeight="1" thickBot="1">
      <c r="A35" s="69"/>
      <c r="B35" s="69"/>
      <c r="C35" s="69"/>
      <c r="D35" s="70" t="s">
        <v>11</v>
      </c>
      <c r="E35" s="46"/>
      <c r="F35" s="47"/>
      <c r="G35" s="47"/>
      <c r="H35" s="48">
        <v>0</v>
      </c>
      <c r="I35" s="49">
        <f>SUM(I31:I34)</f>
        <v>2722080</v>
      </c>
      <c r="J35" s="64"/>
      <c r="K35" s="64">
        <f>SUM(K31:K34)</f>
        <v>2722080</v>
      </c>
    </row>
    <row r="36" spans="1:11" ht="25.05" customHeight="1" thickTop="1">
      <c r="A36" s="71" t="s">
        <v>99</v>
      </c>
      <c r="B36" s="71" t="s">
        <v>96</v>
      </c>
      <c r="C36" s="71" t="s">
        <v>97</v>
      </c>
      <c r="D36" s="72" t="s">
        <v>101</v>
      </c>
      <c r="E36" s="58" t="s">
        <v>66</v>
      </c>
      <c r="F36" s="38">
        <v>24</v>
      </c>
      <c r="G36" s="38"/>
      <c r="H36" s="39">
        <v>720</v>
      </c>
      <c r="I36" s="39">
        <f>F36*H36</f>
        <v>17280</v>
      </c>
      <c r="J36" s="38"/>
      <c r="K36" s="39">
        <f>H36*F36</f>
        <v>17280</v>
      </c>
    </row>
    <row r="37" spans="1:11" ht="25.05" customHeight="1" thickBot="1">
      <c r="A37" s="44"/>
      <c r="B37" s="44"/>
      <c r="C37" s="44"/>
      <c r="D37" s="45" t="s">
        <v>11</v>
      </c>
      <c r="E37" s="46"/>
      <c r="F37" s="47"/>
      <c r="G37" s="47"/>
      <c r="H37" s="48">
        <v>0</v>
      </c>
      <c r="I37" s="49">
        <v>86400</v>
      </c>
      <c r="J37" s="50"/>
      <c r="K37" s="51">
        <v>86400</v>
      </c>
    </row>
    <row r="38" spans="1:11" ht="25.05" customHeight="1" thickTop="1">
      <c r="A38" s="9"/>
      <c r="B38" s="9"/>
      <c r="C38" s="9"/>
      <c r="D38" s="14"/>
      <c r="E38" s="23"/>
      <c r="F38" s="5"/>
      <c r="G38" s="5"/>
      <c r="H38" s="6">
        <v>0</v>
      </c>
      <c r="I38" s="6"/>
      <c r="J38" s="5"/>
      <c r="K38" s="5"/>
    </row>
  </sheetData>
  <mergeCells count="14">
    <mergeCell ref="A20:G20"/>
    <mergeCell ref="A5:E5"/>
    <mergeCell ref="A14:G14"/>
    <mergeCell ref="A17:G17"/>
    <mergeCell ref="K1:K2"/>
    <mergeCell ref="A1:A2"/>
    <mergeCell ref="B1:B2"/>
    <mergeCell ref="C1:C2"/>
    <mergeCell ref="D1:D2"/>
    <mergeCell ref="E1:E2"/>
    <mergeCell ref="F1:G1"/>
    <mergeCell ref="H1:H2"/>
    <mergeCell ref="I1:I2"/>
    <mergeCell ref="J1:J2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- One Stop Mart</vt:lpstr>
      <vt:lpstr>One Stop Mart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Ei Thaw Soe</cp:lastModifiedBy>
  <dcterms:created xsi:type="dcterms:W3CDTF">2015-06-05T18:17:20Z</dcterms:created>
  <dcterms:modified xsi:type="dcterms:W3CDTF">2026-09-23T09:18:57Z</dcterms:modified>
</cp:coreProperties>
</file>